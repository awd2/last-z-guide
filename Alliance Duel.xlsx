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<sst xmlns="http://schemas.openxmlformats.org/spreadsheetml/2006/main" count="179" uniqueCount="53">
  <si>
    <t>Alliance Duel Rewards</t>
  </si>
  <si>
    <t>DAY 1 - 5 REWARDS</t>
  </si>
  <si>
    <t>CALCULATION TABLE</t>
  </si>
  <si>
    <t>Chest 1 (1,000)</t>
  </si>
  <si>
    <t>Chest 2 (1,500)</t>
  </si>
  <si>
    <t>Chest 3 (4,650)</t>
  </si>
  <si>
    <t>Chest 4 (2,500)</t>
  </si>
  <si>
    <t>Chest 5 (4,200)</t>
  </si>
  <si>
    <t>Chest 6 (8,650)</t>
  </si>
  <si>
    <t>Chest 7 (5,600)</t>
  </si>
  <si>
    <t>Chest 8 (9,600)</t>
  </si>
  <si>
    <t>Chest 9 (13,000)</t>
  </si>
  <si>
    <t>Daily Total</t>
  </si>
  <si>
    <t>x2 Rewards</t>
  </si>
  <si>
    <t>Score</t>
  </si>
  <si>
    <t>Sum of 9 chests</t>
  </si>
  <si>
    <t>Reward name</t>
  </si>
  <si>
    <t>Badges</t>
  </si>
  <si>
    <t>Valor Medal</t>
  </si>
  <si>
    <t>EXP Chest</t>
  </si>
  <si>
    <t xml:space="preserve"> </t>
  </si>
  <si>
    <t>Wood Chest</t>
  </si>
  <si>
    <t>Food Chest</t>
  </si>
  <si>
    <t>Electricity Chest</t>
  </si>
  <si>
    <t>100 Diamonds</t>
  </si>
  <si>
    <t>Purple Hero Fragments</t>
  </si>
  <si>
    <t>Purple Skill Books</t>
  </si>
  <si>
    <t>Enhancement Alloy</t>
  </si>
  <si>
    <t>Orange Fragments</t>
  </si>
  <si>
    <t>Orang Skill Books</t>
  </si>
  <si>
    <t>Duel Master Supply Box</t>
  </si>
  <si>
    <t>DAY 6: Enemy Buster Day</t>
  </si>
  <si>
    <t>Total on DAY 6</t>
  </si>
  <si>
    <t>Weekly Total</t>
  </si>
  <si>
    <t>(DAILY TOTAL*5) + DAY 6</t>
  </si>
  <si>
    <t>ALLIANCE LEAGUE REWARDS</t>
  </si>
  <si>
    <t>ALLIANCE LEAGUE DAILY VICTORY REWARDS x6</t>
  </si>
  <si>
    <t>ALLIANCE REWARDS</t>
  </si>
  <si>
    <t>LEAGUE</t>
  </si>
  <si>
    <t>GOLD</t>
  </si>
  <si>
    <t>DIAMOND</t>
  </si>
  <si>
    <t>DAILY VICTORY REWARDS</t>
  </si>
  <si>
    <t>MAXIMUM POTENTIAL WEEKLY REWARDS WITH ALLIANCE RECOGNITION (6xWIN AND 1st PLACE ONLY)</t>
  </si>
  <si>
    <t>WEEKLY VICTORY</t>
  </si>
  <si>
    <t>50 Diamonds</t>
  </si>
  <si>
    <t>Diamonds x100</t>
  </si>
  <si>
    <t>WEEKLY DEFEAT</t>
  </si>
  <si>
    <t>PERSONAL REWARD BASED ON RANKS (DIAMOND LEAGUE)</t>
  </si>
  <si>
    <t>PERSONAL REWARD BASED ON RANKS (DIAMOND LEAGUE) x6</t>
  </si>
  <si>
    <t>RANKING</t>
  </si>
  <si>
    <t>Alloy</t>
  </si>
  <si>
    <t>4-10</t>
  </si>
  <si>
    <t>11-30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</si>
</sst>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22.0"/>
      <color rgb="FFFF0000"/>
      <name val="Arial"/>
    </font>
    <font>
      <b/>
      <sz val="11.0"/>
      <color theme="1"/>
      <name val="Arial"/>
    </font>
    <font>
      <u/>
      <color rgb="FF1155CC"/>
      <name val="Arial"/>
    </font>
    <font>
      <b/>
      <sz val="12.0"/>
      <color rgb="FF0000FF"/>
      <name val="Arial"/>
    </font>
    <font/>
    <font>
      <b/>
      <color rgb="FFFFFFFF"/>
      <name val="Arial"/>
    </font>
    <font>
      <b/>
      <color theme="1"/>
      <name val="Arial"/>
    </font>
    <font>
      <b/>
      <sz val="12.0"/>
      <color rgb="FFCC0000"/>
      <name val="Arial"/>
    </font>
    <font>
      <b/>
      <color rgb="FFFF0000"/>
      <name val="Arial"/>
    </font>
    <font>
      <b/>
      <sz val="9.0"/>
      <color rgb="FFFF0000"/>
      <name val="Arial"/>
    </font>
    <font>
      <b/>
      <sz val="12.0"/>
      <color rgb="FFFF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BBC04"/>
        <bgColor rgb="FFFBBC04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48">
    <border/>
    <border>
      <left/>
      <right/>
      <top/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theme="5"/>
      </left>
      <top style="medium">
        <color theme="5"/>
      </top>
    </border>
    <border>
      <top style="medium">
        <color theme="5"/>
      </top>
    </border>
    <border>
      <right style="medium">
        <color theme="5"/>
      </right>
      <top style="medium">
        <color theme="5"/>
      </top>
    </border>
    <border>
      <left style="medium">
        <color theme="5"/>
      </left>
    </border>
    <border>
      <right style="medium">
        <color theme="5"/>
      </right>
    </border>
    <border>
      <left style="medium">
        <color theme="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theme="5"/>
      </right>
      <top style="thin">
        <color rgb="FF000000"/>
      </top>
      <bottom style="thin">
        <color rgb="FF000000"/>
      </bottom>
    </border>
    <border>
      <left style="medium">
        <color theme="5"/>
      </left>
      <right style="thin">
        <color rgb="FF505050"/>
      </right>
      <top style="thin">
        <color rgb="FF505050"/>
      </top>
      <bottom style="medium">
        <color theme="5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theme="5"/>
      </bottom>
    </border>
    <border>
      <left style="thin">
        <color rgb="FF505050"/>
      </left>
      <right style="medium">
        <color theme="5"/>
      </right>
      <top style="thin">
        <color rgb="FF505050"/>
      </top>
      <bottom style="medium">
        <color theme="5"/>
      </bottom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right style="thin">
        <color theme="1"/>
      </right>
      <top style="thin">
        <color theme="1"/>
      </top>
    </border>
    <border>
      <left style="thin">
        <color theme="1"/>
      </left>
    </border>
    <border>
      <right style="thin">
        <color theme="1"/>
      </right>
    </border>
    <border>
      <left/>
      <right style="thin">
        <color theme="1"/>
      </right>
      <top/>
      <bottom/>
    </border>
    <border>
      <left/>
      <right style="medium">
        <color theme="5"/>
      </right>
      <top/>
      <bottom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left style="medium">
        <color theme="5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medium">
        <color theme="5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theme="1"/>
      </bottom>
    </border>
    <border>
      <left style="medium">
        <color theme="5"/>
      </left>
      <right/>
      <top style="thin">
        <color rgb="FF000000"/>
      </top>
      <bottom style="medium">
        <color theme="5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5"/>
      </bottom>
    </border>
    <border>
      <left style="thin">
        <color theme="1"/>
      </left>
      <right style="medium">
        <color theme="5"/>
      </right>
      <top style="thin">
        <color theme="1"/>
      </top>
      <bottom style="medium">
        <color theme="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theme="5"/>
      </left>
      <right style="thin">
        <color rgb="FF000000"/>
      </right>
      <top style="thin">
        <color rgb="FF000000"/>
      </top>
      <bottom style="medium">
        <color theme="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5"/>
      </bottom>
    </border>
    <border>
      <left style="thin">
        <color rgb="FF000000"/>
      </left>
      <right style="medium">
        <color theme="5"/>
      </right>
      <top style="thin">
        <color rgb="FF000000"/>
      </top>
      <bottom style="medium">
        <color theme="5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4" fontId="5" numFmtId="0" xfId="0" applyAlignment="1" applyBorder="1" applyFill="1" applyFont="1">
      <alignment horizontal="center" vertical="bottom"/>
    </xf>
    <xf borderId="4" fillId="0" fontId="6" numFmtId="0" xfId="0" applyBorder="1" applyFont="1"/>
    <xf borderId="5" fillId="0" fontId="6" numFmtId="0" xfId="0" applyBorder="1" applyFont="1"/>
    <xf borderId="3" fillId="5" fontId="7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vertical="bottom"/>
    </xf>
    <xf borderId="6" fillId="6" fontId="8" numFmtId="0" xfId="0" applyAlignment="1" applyBorder="1" applyFill="1" applyFont="1">
      <alignment vertical="bottom"/>
    </xf>
    <xf borderId="6" fillId="7" fontId="8" numFmtId="0" xfId="0" applyAlignment="1" applyBorder="1" applyFill="1" applyFont="1">
      <alignment vertical="bottom"/>
    </xf>
    <xf borderId="6" fillId="8" fontId="8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1" numFmtId="3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6" fillId="8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vertical="bottom"/>
    </xf>
    <xf borderId="6" fillId="9" fontId="1" numFmtId="0" xfId="0" applyAlignment="1" applyBorder="1" applyFill="1" applyFont="1">
      <alignment vertical="bottom"/>
    </xf>
    <xf borderId="6" fillId="10" fontId="1" numFmtId="0" xfId="0" applyAlignment="1" applyBorder="1" applyFill="1" applyFont="1">
      <alignment vertical="bottom"/>
    </xf>
    <xf borderId="6" fillId="11" fontId="1" numFmtId="0" xfId="0" applyAlignment="1" applyBorder="1" applyFill="1" applyFont="1">
      <alignment vertical="bottom"/>
    </xf>
    <xf borderId="9" fillId="8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1" numFmtId="0" xfId="0" applyAlignment="1" applyBorder="1" applyFont="1">
      <alignment horizontal="right" vertical="bottom"/>
    </xf>
    <xf borderId="11" fillId="8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right" vertical="bottom"/>
    </xf>
    <xf borderId="12" fillId="12" fontId="9" numFmtId="0" xfId="0" applyAlignment="1" applyBorder="1" applyFill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15" fillId="0" fontId="1" numFmtId="0" xfId="0" applyAlignment="1" applyBorder="1" applyFont="1">
      <alignment vertical="bottom"/>
    </xf>
    <xf borderId="16" fillId="0" fontId="10" numFmtId="0" xfId="0" applyAlignment="1" applyBorder="1" applyFont="1">
      <alignment vertical="bottom"/>
    </xf>
    <xf borderId="17" fillId="0" fontId="10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9" fillId="0" fontId="1" numFmtId="0" xfId="0" applyAlignment="1" applyBorder="1" applyFont="1">
      <alignment vertical="bottom"/>
    </xf>
    <xf borderId="18" fillId="0" fontId="8" numFmtId="0" xfId="0" applyAlignment="1" applyBorder="1" applyFont="1">
      <alignment vertical="bottom"/>
    </xf>
    <xf borderId="20" fillId="8" fontId="1" numFmtId="0" xfId="0" applyAlignment="1" applyBorder="1" applyFont="1">
      <alignment vertical="bottom"/>
    </xf>
    <xf borderId="21" fillId="0" fontId="1" numFmtId="3" xfId="0" applyAlignment="1" applyBorder="1" applyFont="1" applyNumberFormat="1">
      <alignment horizontal="right" vertical="bottom"/>
    </xf>
    <xf borderId="20" fillId="9" fontId="1" numFmtId="0" xfId="0" applyAlignment="1" applyBorder="1" applyFont="1">
      <alignment vertical="bottom"/>
    </xf>
    <xf borderId="20" fillId="10" fontId="1" numFmtId="0" xfId="0" applyAlignment="1" applyBorder="1" applyFont="1">
      <alignment vertical="bottom"/>
    </xf>
    <xf borderId="20" fillId="11" fontId="1" numFmtId="0" xfId="0" applyAlignment="1" applyBorder="1" applyFont="1">
      <alignment vertical="bottom"/>
    </xf>
    <xf borderId="22" fillId="8" fontId="1" numFmtId="0" xfId="0" applyAlignment="1" applyBorder="1" applyFont="1">
      <alignment vertical="bottom"/>
    </xf>
    <xf borderId="23" fillId="0" fontId="1" numFmtId="3" xfId="0" applyAlignment="1" applyBorder="1" applyFont="1" applyNumberFormat="1">
      <alignment horizontal="right" vertical="bottom"/>
    </xf>
    <xf borderId="24" fillId="0" fontId="1" numFmtId="0" xfId="0" applyAlignment="1" applyBorder="1" applyFont="1">
      <alignment horizontal="right" vertical="bottom"/>
    </xf>
    <xf borderId="25" fillId="0" fontId="10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15" fillId="0" fontId="1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1" fillId="13" fontId="1" numFmtId="0" xfId="0" applyAlignment="1" applyBorder="1" applyFill="1" applyFont="1">
      <alignment vertical="bottom"/>
    </xf>
    <xf borderId="30" fillId="14" fontId="1" numFmtId="0" xfId="0" applyAlignment="1" applyBorder="1" applyFill="1" applyFont="1">
      <alignment vertical="bottom"/>
    </xf>
    <xf borderId="31" fillId="14" fontId="1" numFmtId="0" xfId="0" applyAlignment="1" applyBorder="1" applyFont="1">
      <alignment vertical="bottom"/>
    </xf>
    <xf borderId="28" fillId="0" fontId="10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32" fillId="8" fontId="1" numFmtId="0" xfId="0" applyAlignment="1" applyBorder="1" applyFont="1">
      <alignment vertical="bottom"/>
    </xf>
    <xf borderId="33" fillId="0" fontId="1" numFmtId="0" xfId="0" applyAlignment="1" applyBorder="1" applyFont="1">
      <alignment horizontal="right" vertical="bottom"/>
    </xf>
    <xf borderId="34" fillId="8" fontId="1" numFmtId="0" xfId="0" applyAlignment="1" applyBorder="1" applyFont="1">
      <alignment vertical="bottom"/>
    </xf>
    <xf borderId="35" fillId="0" fontId="1" numFmtId="0" xfId="0" applyAlignment="1" applyBorder="1" applyFont="1">
      <alignment horizontal="right" vertical="bottom"/>
    </xf>
    <xf borderId="36" fillId="0" fontId="1" numFmtId="0" xfId="0" applyAlignment="1" applyBorder="1" applyFont="1">
      <alignment horizontal="right" vertical="bottom"/>
    </xf>
    <xf borderId="0" fillId="0" fontId="1" numFmtId="3" xfId="0" applyAlignment="1" applyFont="1" applyNumberFormat="1">
      <alignment vertical="bottom"/>
    </xf>
    <xf borderId="32" fillId="10" fontId="1" numFmtId="0" xfId="0" applyAlignment="1" applyBorder="1" applyFont="1">
      <alignment vertical="bottom"/>
    </xf>
    <xf borderId="34" fillId="10" fontId="1" numFmtId="0" xfId="0" applyAlignment="1" applyBorder="1" applyFont="1">
      <alignment vertical="bottom"/>
    </xf>
    <xf borderId="32" fillId="9" fontId="1" numFmtId="0" xfId="0" applyAlignment="1" applyBorder="1" applyFont="1">
      <alignment vertical="bottom"/>
    </xf>
    <xf borderId="34" fillId="9" fontId="1" numFmtId="0" xfId="0" applyAlignment="1" applyBorder="1" applyFont="1">
      <alignment vertical="bottom"/>
    </xf>
    <xf borderId="37" fillId="9" fontId="1" numFmtId="0" xfId="0" applyAlignment="1" applyBorder="1" applyFont="1">
      <alignment vertical="bottom"/>
    </xf>
    <xf borderId="38" fillId="0" fontId="1" numFmtId="0" xfId="0" applyAlignment="1" applyBorder="1" applyFont="1">
      <alignment horizontal="right" vertical="bottom"/>
    </xf>
    <xf borderId="39" fillId="0" fontId="1" numFmtId="0" xfId="0" applyAlignment="1" applyBorder="1" applyFont="1">
      <alignment horizontal="right" vertical="bottom"/>
    </xf>
    <xf borderId="40" fillId="9" fontId="1" numFmtId="0" xfId="0" applyAlignment="1" applyBorder="1" applyFont="1">
      <alignment vertical="bottom"/>
    </xf>
    <xf borderId="41" fillId="0" fontId="1" numFmtId="0" xfId="0" applyAlignment="1" applyBorder="1" applyFont="1">
      <alignment horizontal="right" vertical="bottom"/>
    </xf>
    <xf borderId="42" fillId="0" fontId="1" numFmtId="0" xfId="0" applyAlignment="1" applyBorder="1" applyFont="1">
      <alignment horizontal="right" vertical="bottom"/>
    </xf>
    <xf borderId="15" fillId="0" fontId="10" numFmtId="0" xfId="0" applyAlignment="1" applyBorder="1" applyFont="1">
      <alignment horizontal="center" vertical="bottom"/>
    </xf>
    <xf borderId="43" fillId="9" fontId="1" numFmtId="0" xfId="0" applyAlignment="1" applyBorder="1" applyFont="1">
      <alignment vertical="bottom"/>
    </xf>
    <xf borderId="44" fillId="0" fontId="1" numFmtId="3" xfId="0" applyAlignment="1" applyBorder="1" applyFont="1" applyNumberFormat="1">
      <alignment horizontal="right" vertical="bottom"/>
    </xf>
    <xf borderId="21" fillId="0" fontId="1" numFmtId="0" xfId="0" applyAlignment="1" applyBorder="1" applyFont="1">
      <alignment vertical="bottom"/>
    </xf>
    <xf borderId="21" fillId="0" fontId="1" numFmtId="0" xfId="0" applyAlignment="1" applyBorder="1" applyFont="1">
      <alignment horizontal="right" vertical="bottom"/>
    </xf>
    <xf borderId="11" fillId="0" fontId="1" numFmtId="3" xfId="0" applyAlignment="1" applyBorder="1" applyFont="1" applyNumberFormat="1">
      <alignment horizontal="right" vertical="bottom"/>
    </xf>
    <xf borderId="45" fillId="9" fontId="1" numFmtId="0" xfId="0" applyAlignment="1" applyBorder="1" applyFont="1">
      <alignment vertical="bottom"/>
    </xf>
    <xf borderId="46" fillId="0" fontId="1" numFmtId="0" xfId="0" applyAlignment="1" applyBorder="1" applyFont="1">
      <alignment horizontal="right" vertical="bottom"/>
    </xf>
    <xf borderId="47" fillId="0" fontId="1" numFmtId="0" xfId="0" applyAlignment="1" applyBorder="1" applyFont="1">
      <alignment horizontal="right" vertical="bottom"/>
    </xf>
    <xf borderId="25" fillId="0" fontId="10" numFmtId="0" xfId="0" applyAlignment="1" applyBorder="1" applyFont="1">
      <alignment horizontal="center" vertical="bottom"/>
    </xf>
    <xf borderId="33" fillId="0" fontId="1" numFmtId="0" xfId="0" applyAlignment="1" applyBorder="1" applyFont="1">
      <alignment vertical="bottom"/>
    </xf>
    <xf borderId="25" fillId="0" fontId="1" numFmtId="0" xfId="0" applyAlignment="1" applyBorder="1" applyFont="1">
      <alignment vertical="bottom"/>
    </xf>
    <xf borderId="26" fillId="0" fontId="10" numFmtId="0" xfId="0" applyAlignment="1" applyBorder="1" applyFont="1">
      <alignment vertical="bottom"/>
    </xf>
    <xf borderId="32" fillId="15" fontId="1" numFmtId="0" xfId="0" applyAlignment="1" applyBorder="1" applyFill="1" applyFont="1">
      <alignment vertical="bottom"/>
    </xf>
    <xf borderId="33" fillId="9" fontId="1" numFmtId="0" xfId="0" applyAlignment="1" applyBorder="1" applyFont="1">
      <alignment vertical="bottom"/>
    </xf>
    <xf borderId="20" fillId="15" fontId="1" numFmtId="0" xfId="0" applyAlignment="1" applyBorder="1" applyFont="1">
      <alignment vertical="bottom"/>
    </xf>
    <xf borderId="21" fillId="9" fontId="1" numFmtId="0" xfId="0" applyAlignment="1" applyBorder="1" applyFont="1">
      <alignment vertical="bottom"/>
    </xf>
    <xf borderId="32" fillId="0" fontId="1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vertical="bottom"/>
    </xf>
    <xf borderId="32" fillId="0" fontId="1" numFmtId="49" xfId="0" applyAlignment="1" applyBorder="1" applyFont="1" applyNumberFormat="1">
      <alignment horizontal="center" vertical="bottom"/>
    </xf>
    <xf borderId="20" fillId="0" fontId="1" numFmtId="49" xfId="0" applyAlignment="1" applyBorder="1" applyFont="1" applyNumberFormat="1">
      <alignment horizontal="center" vertical="bottom"/>
    </xf>
    <xf borderId="37" fillId="0" fontId="1" numFmtId="49" xfId="0" applyAlignment="1" applyBorder="1" applyFont="1" applyNumberFormat="1">
      <alignment horizontal="center" vertical="bottom"/>
    </xf>
    <xf borderId="38" fillId="0" fontId="1" numFmtId="0" xfId="0" applyAlignment="1" applyBorder="1" applyFont="1">
      <alignment vertical="bottom"/>
    </xf>
    <xf borderId="38" fillId="0" fontId="1" numFmtId="3" xfId="0" applyAlignment="1" applyBorder="1" applyFont="1" applyNumberFormat="1">
      <alignment horizontal="right" vertical="bottom"/>
    </xf>
    <xf borderId="45" fillId="0" fontId="1" numFmtId="49" xfId="0" applyAlignment="1" applyBorder="1" applyFont="1" applyNumberFormat="1">
      <alignment horizontal="center" vertical="bottom"/>
    </xf>
    <xf borderId="4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4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5"/>
      <c r="J4" s="1"/>
      <c r="K4" s="1"/>
      <c r="L4" s="1"/>
      <c r="M4" s="1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" t="s">
        <v>1</v>
      </c>
      <c r="B5" s="7"/>
      <c r="C5" s="7"/>
      <c r="D5" s="7"/>
      <c r="E5" s="7"/>
      <c r="F5" s="7"/>
      <c r="G5" s="7"/>
      <c r="H5" s="7"/>
      <c r="I5" s="7"/>
      <c r="J5" s="8"/>
      <c r="K5" s="1"/>
      <c r="L5" s="9" t="s">
        <v>2</v>
      </c>
      <c r="M5" s="7"/>
      <c r="N5" s="7"/>
      <c r="O5" s="7"/>
      <c r="P5" s="7"/>
      <c r="Q5" s="7"/>
      <c r="R5" s="8"/>
      <c r="S5" s="1"/>
      <c r="T5" s="1"/>
      <c r="U5" s="1"/>
      <c r="V5" s="1"/>
      <c r="W5" s="1"/>
      <c r="X5" s="1"/>
      <c r="Y5" s="1"/>
      <c r="Z5" s="1"/>
    </row>
    <row r="6">
      <c r="A6" s="10"/>
      <c r="B6" s="11" t="s">
        <v>3</v>
      </c>
      <c r="C6" s="12" t="s">
        <v>4</v>
      </c>
      <c r="D6" s="13" t="s">
        <v>5</v>
      </c>
      <c r="E6" s="11" t="s">
        <v>6</v>
      </c>
      <c r="F6" s="12" t="s">
        <v>7</v>
      </c>
      <c r="G6" s="13" t="s">
        <v>8</v>
      </c>
      <c r="H6" s="11" t="s">
        <v>9</v>
      </c>
      <c r="I6" s="12" t="s">
        <v>10</v>
      </c>
      <c r="J6" s="13" t="s">
        <v>11</v>
      </c>
      <c r="K6" s="1"/>
      <c r="L6" s="1"/>
      <c r="M6" s="14" t="s">
        <v>12</v>
      </c>
      <c r="N6" s="14" t="s">
        <v>13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5" t="s">
        <v>14</v>
      </c>
      <c r="B7" s="16">
        <v>20000.0</v>
      </c>
      <c r="C7" s="16">
        <v>80000.0</v>
      </c>
      <c r="D7" s="16">
        <v>300000.0</v>
      </c>
      <c r="E7" s="16">
        <v>550000.0</v>
      </c>
      <c r="F7" s="16">
        <v>840000.0</v>
      </c>
      <c r="G7" s="16">
        <v>1500000.0</v>
      </c>
      <c r="H7" s="16">
        <v>2200000.0</v>
      </c>
      <c r="I7" s="16">
        <v>3000000.0</v>
      </c>
      <c r="J7" s="16">
        <v>6000000.0</v>
      </c>
      <c r="K7" s="1"/>
      <c r="L7" s="1"/>
      <c r="M7" s="14" t="s">
        <v>15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 t="s">
        <v>16</v>
      </c>
      <c r="B8" s="17"/>
      <c r="C8" s="17"/>
      <c r="D8" s="17"/>
      <c r="E8" s="17"/>
      <c r="F8" s="17"/>
      <c r="G8" s="17"/>
      <c r="H8" s="17"/>
      <c r="I8" s="17"/>
      <c r="J8" s="18"/>
      <c r="K8" s="1"/>
      <c r="L8" s="14" t="s">
        <v>16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9" t="s">
        <v>17</v>
      </c>
      <c r="B9" s="20">
        <v>20.0</v>
      </c>
      <c r="C9" s="20">
        <v>30.0</v>
      </c>
      <c r="D9" s="20">
        <v>45.0</v>
      </c>
      <c r="E9" s="20">
        <v>30.0</v>
      </c>
      <c r="F9" s="20">
        <v>60.0</v>
      </c>
      <c r="G9" s="20">
        <v>120.0</v>
      </c>
      <c r="H9" s="20">
        <v>75.0</v>
      </c>
      <c r="I9" s="20">
        <v>150.0</v>
      </c>
      <c r="J9" s="20">
        <v>300.0</v>
      </c>
      <c r="K9" s="1"/>
      <c r="L9" s="19" t="s">
        <v>17</v>
      </c>
      <c r="M9" s="16">
        <f t="shared" ref="M9:M21" si="1">SUM(B9:J9)</f>
        <v>830</v>
      </c>
      <c r="N9" s="16">
        <f t="shared" ref="N9:N21" si="2">M9*2</f>
        <v>1660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9" t="s">
        <v>18</v>
      </c>
      <c r="B10" s="10"/>
      <c r="C10" s="10"/>
      <c r="D10" s="10"/>
      <c r="E10" s="10"/>
      <c r="F10" s="10"/>
      <c r="G10" s="10"/>
      <c r="H10" s="10"/>
      <c r="I10" s="10"/>
      <c r="J10" s="10"/>
      <c r="K10" s="1"/>
      <c r="L10" s="19" t="s">
        <v>18</v>
      </c>
      <c r="M10" s="16">
        <f t="shared" si="1"/>
        <v>0</v>
      </c>
      <c r="N10" s="16">
        <f t="shared" si="2"/>
        <v>0</v>
      </c>
      <c r="O10" s="1"/>
      <c r="P10" s="1"/>
      <c r="Q10" s="3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19</v>
      </c>
      <c r="B11" s="20">
        <v>2.0</v>
      </c>
      <c r="C11" s="20">
        <v>3.0</v>
      </c>
      <c r="D11" s="10"/>
      <c r="E11" s="20">
        <v>8.0</v>
      </c>
      <c r="F11" s="20">
        <v>12.0</v>
      </c>
      <c r="G11" s="10"/>
      <c r="H11" s="20">
        <v>16.0</v>
      </c>
      <c r="I11" s="10"/>
      <c r="J11" s="10"/>
      <c r="K11" s="1"/>
      <c r="L11" s="21" t="s">
        <v>19</v>
      </c>
      <c r="M11" s="16">
        <f t="shared" si="1"/>
        <v>41</v>
      </c>
      <c r="N11" s="16">
        <f t="shared" si="2"/>
        <v>82</v>
      </c>
      <c r="O11" s="1" t="s">
        <v>20</v>
      </c>
      <c r="P11" s="1"/>
      <c r="Q11" s="4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21</v>
      </c>
      <c r="B12" s="20">
        <v>2.0</v>
      </c>
      <c r="C12" s="20">
        <v>3.0</v>
      </c>
      <c r="D12" s="10"/>
      <c r="E12" s="20">
        <v>8.0</v>
      </c>
      <c r="F12" s="20">
        <v>12.0</v>
      </c>
      <c r="G12" s="10"/>
      <c r="H12" s="20">
        <v>16.0</v>
      </c>
      <c r="I12" s="10"/>
      <c r="J12" s="10"/>
      <c r="K12" s="1"/>
      <c r="L12" s="21" t="s">
        <v>21</v>
      </c>
      <c r="M12" s="16">
        <f t="shared" si="1"/>
        <v>41</v>
      </c>
      <c r="N12" s="16">
        <f t="shared" si="2"/>
        <v>82</v>
      </c>
      <c r="O12" s="1"/>
      <c r="P12" s="1"/>
      <c r="Q12" s="5"/>
      <c r="R12" s="1"/>
      <c r="S12" s="1"/>
      <c r="T12" s="1"/>
      <c r="U12" s="1"/>
      <c r="V12" s="1"/>
      <c r="W12" s="1"/>
      <c r="X12" s="1"/>
      <c r="Y12" s="1"/>
      <c r="Z12" s="1"/>
    </row>
    <row r="13">
      <c r="A13" s="21" t="s">
        <v>22</v>
      </c>
      <c r="B13" s="20">
        <v>2.0</v>
      </c>
      <c r="C13" s="20">
        <v>3.0</v>
      </c>
      <c r="D13" s="10"/>
      <c r="E13" s="20">
        <v>8.0</v>
      </c>
      <c r="F13" s="20">
        <v>12.0</v>
      </c>
      <c r="G13" s="10"/>
      <c r="H13" s="20">
        <v>16.0</v>
      </c>
      <c r="I13" s="10"/>
      <c r="J13" s="10"/>
      <c r="K13" s="1"/>
      <c r="L13" s="21" t="s">
        <v>22</v>
      </c>
      <c r="M13" s="16">
        <f t="shared" si="1"/>
        <v>41</v>
      </c>
      <c r="N13" s="16">
        <f t="shared" si="2"/>
        <v>82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23</v>
      </c>
      <c r="B14" s="20">
        <v>2.0</v>
      </c>
      <c r="C14" s="20">
        <v>3.0</v>
      </c>
      <c r="D14" s="10"/>
      <c r="E14" s="20">
        <v>8.0</v>
      </c>
      <c r="F14" s="20">
        <v>12.0</v>
      </c>
      <c r="G14" s="10"/>
      <c r="H14" s="20">
        <v>16.0</v>
      </c>
      <c r="I14" s="10"/>
      <c r="J14" s="10"/>
      <c r="K14" s="1"/>
      <c r="L14" s="21" t="s">
        <v>23</v>
      </c>
      <c r="M14" s="16">
        <f t="shared" si="1"/>
        <v>41</v>
      </c>
      <c r="N14" s="16">
        <f t="shared" si="2"/>
        <v>82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2" t="s">
        <v>24</v>
      </c>
      <c r="B15" s="10"/>
      <c r="C15" s="10"/>
      <c r="D15" s="20">
        <v>1.0</v>
      </c>
      <c r="E15" s="10"/>
      <c r="F15" s="10"/>
      <c r="G15" s="20">
        <v>2.0</v>
      </c>
      <c r="H15" s="10"/>
      <c r="I15" s="10"/>
      <c r="J15" s="10"/>
      <c r="K15" s="1"/>
      <c r="L15" s="22" t="s">
        <v>24</v>
      </c>
      <c r="M15" s="16">
        <f t="shared" si="1"/>
        <v>3</v>
      </c>
      <c r="N15" s="16">
        <f t="shared" si="2"/>
        <v>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2" t="s">
        <v>25</v>
      </c>
      <c r="B16" s="10"/>
      <c r="C16" s="10"/>
      <c r="D16" s="20">
        <v>3.0</v>
      </c>
      <c r="E16" s="10"/>
      <c r="F16" s="10"/>
      <c r="G16" s="20">
        <v>5.0</v>
      </c>
      <c r="H16" s="10"/>
      <c r="I16" s="10"/>
      <c r="J16" s="10"/>
      <c r="K16" s="1"/>
      <c r="L16" s="22" t="s">
        <v>25</v>
      </c>
      <c r="M16" s="16">
        <f t="shared" si="1"/>
        <v>8</v>
      </c>
      <c r="N16" s="16">
        <f t="shared" si="2"/>
        <v>16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2" t="s">
        <v>26</v>
      </c>
      <c r="B17" s="10"/>
      <c r="C17" s="10"/>
      <c r="D17" s="20">
        <v>30.0</v>
      </c>
      <c r="E17" s="10"/>
      <c r="F17" s="10"/>
      <c r="G17" s="20">
        <v>50.0</v>
      </c>
      <c r="H17" s="10"/>
      <c r="I17" s="10"/>
      <c r="J17" s="10"/>
      <c r="K17" s="1"/>
      <c r="L17" s="22" t="s">
        <v>26</v>
      </c>
      <c r="M17" s="16">
        <f t="shared" si="1"/>
        <v>80</v>
      </c>
      <c r="N17" s="16">
        <f t="shared" si="2"/>
        <v>160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 t="s">
        <v>27</v>
      </c>
      <c r="B18" s="10"/>
      <c r="C18" s="10"/>
      <c r="D18" s="16">
        <v>10000.0</v>
      </c>
      <c r="E18" s="10"/>
      <c r="F18" s="10"/>
      <c r="G18" s="16">
        <v>20000.0</v>
      </c>
      <c r="H18" s="10"/>
      <c r="I18" s="16">
        <v>40000.0</v>
      </c>
      <c r="J18" s="16">
        <v>40000.0</v>
      </c>
      <c r="K18" s="1"/>
      <c r="L18" s="23" t="s">
        <v>27</v>
      </c>
      <c r="M18" s="16">
        <f t="shared" si="1"/>
        <v>110000</v>
      </c>
      <c r="N18" s="16">
        <f t="shared" si="2"/>
        <v>220000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9" t="s">
        <v>28</v>
      </c>
      <c r="B19" s="10"/>
      <c r="C19" s="10"/>
      <c r="D19" s="10"/>
      <c r="E19" s="10"/>
      <c r="F19" s="10"/>
      <c r="G19" s="10"/>
      <c r="H19" s="10"/>
      <c r="I19" s="20">
        <v>1.0</v>
      </c>
      <c r="J19" s="20">
        <v>1.0</v>
      </c>
      <c r="K19" s="1"/>
      <c r="L19" s="19" t="s">
        <v>28</v>
      </c>
      <c r="M19" s="16">
        <f t="shared" si="1"/>
        <v>2</v>
      </c>
      <c r="N19" s="16">
        <f t="shared" si="2"/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4" t="s">
        <v>29</v>
      </c>
      <c r="B20" s="25"/>
      <c r="C20" s="25"/>
      <c r="D20" s="25"/>
      <c r="E20" s="25"/>
      <c r="F20" s="25"/>
      <c r="G20" s="25"/>
      <c r="H20" s="25"/>
      <c r="I20" s="26">
        <v>10.0</v>
      </c>
      <c r="J20" s="26">
        <v>10.0</v>
      </c>
      <c r="K20" s="1"/>
      <c r="L20" s="19" t="s">
        <v>29</v>
      </c>
      <c r="M20" s="16">
        <f t="shared" si="1"/>
        <v>20</v>
      </c>
      <c r="N20" s="16">
        <f t="shared" si="2"/>
        <v>40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7" t="s">
        <v>30</v>
      </c>
      <c r="B21" s="28"/>
      <c r="C21" s="28"/>
      <c r="D21" s="29">
        <v>2.0</v>
      </c>
      <c r="E21" s="28"/>
      <c r="F21" s="28"/>
      <c r="G21" s="29">
        <v>3.0</v>
      </c>
      <c r="H21" s="28"/>
      <c r="I21" s="29">
        <v>5.0</v>
      </c>
      <c r="J21" s="29">
        <v>5.0</v>
      </c>
      <c r="K21" s="1"/>
      <c r="L21" s="27" t="s">
        <v>30</v>
      </c>
      <c r="M21" s="16">
        <f t="shared" si="1"/>
        <v>15</v>
      </c>
      <c r="N21" s="16">
        <f t="shared" si="2"/>
        <v>30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0" t="s">
        <v>31</v>
      </c>
      <c r="B23" s="31"/>
      <c r="C23" s="31"/>
      <c r="D23" s="31"/>
      <c r="E23" s="31"/>
      <c r="F23" s="31"/>
      <c r="G23" s="31"/>
      <c r="H23" s="31"/>
      <c r="I23" s="3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0"/>
      <c r="B24" s="11" t="s">
        <v>3</v>
      </c>
      <c r="C24" s="12" t="s">
        <v>4</v>
      </c>
      <c r="D24" s="13" t="s">
        <v>5</v>
      </c>
      <c r="E24" s="11" t="s">
        <v>6</v>
      </c>
      <c r="F24" s="12" t="s">
        <v>7</v>
      </c>
      <c r="G24" s="13" t="s">
        <v>8</v>
      </c>
      <c r="H24" s="11" t="s">
        <v>9</v>
      </c>
      <c r="I24" s="12" t="s">
        <v>10</v>
      </c>
      <c r="J24" s="13" t="s">
        <v>11</v>
      </c>
      <c r="K24" s="1"/>
      <c r="L24" s="1"/>
      <c r="M24" s="14" t="s">
        <v>32</v>
      </c>
      <c r="N24" s="14" t="s">
        <v>13</v>
      </c>
      <c r="O24" s="1"/>
      <c r="P24" s="33"/>
      <c r="Q24" s="34" t="s">
        <v>33</v>
      </c>
      <c r="R24" s="35" t="s">
        <v>13</v>
      </c>
      <c r="S24" s="1"/>
      <c r="T24" s="1"/>
      <c r="U24" s="1"/>
      <c r="V24" s="1"/>
      <c r="W24" s="1"/>
      <c r="X24" s="1"/>
      <c r="Y24" s="1"/>
      <c r="Z24" s="1"/>
    </row>
    <row r="25">
      <c r="A25" s="15" t="s">
        <v>14</v>
      </c>
      <c r="B25" s="16">
        <v>17000.0</v>
      </c>
      <c r="C25" s="16">
        <v>69000.0</v>
      </c>
      <c r="D25" s="16">
        <v>240000.0</v>
      </c>
      <c r="E25" s="16">
        <v>290000.0</v>
      </c>
      <c r="F25" s="16">
        <v>450000.0</v>
      </c>
      <c r="G25" s="16">
        <v>980000.0</v>
      </c>
      <c r="H25" s="16">
        <v>1100000.0</v>
      </c>
      <c r="I25" s="16">
        <v>1600000.0</v>
      </c>
      <c r="J25" s="16">
        <v>3200000.0</v>
      </c>
      <c r="K25" s="1"/>
      <c r="L25" s="1"/>
      <c r="M25" s="14" t="s">
        <v>15</v>
      </c>
      <c r="N25" s="1"/>
      <c r="O25" s="1"/>
      <c r="P25" s="36"/>
      <c r="Q25" s="37" t="s">
        <v>34</v>
      </c>
      <c r="R25" s="38"/>
      <c r="S25" s="1"/>
      <c r="T25" s="1"/>
      <c r="U25" s="1"/>
      <c r="V25" s="1"/>
      <c r="W25" s="1"/>
      <c r="X25" s="1"/>
      <c r="Y25" s="1"/>
      <c r="Z25" s="1"/>
    </row>
    <row r="26">
      <c r="A26" s="14" t="s">
        <v>16</v>
      </c>
      <c r="B26" s="17"/>
      <c r="C26" s="17"/>
      <c r="D26" s="17"/>
      <c r="E26" s="17"/>
      <c r="F26" s="17"/>
      <c r="G26" s="17"/>
      <c r="H26" s="17"/>
      <c r="I26" s="17"/>
      <c r="J26" s="18"/>
      <c r="K26" s="1"/>
      <c r="L26" s="14" t="s">
        <v>16</v>
      </c>
      <c r="M26" s="1"/>
      <c r="N26" s="1"/>
      <c r="O26" s="1"/>
      <c r="P26" s="39" t="s">
        <v>16</v>
      </c>
      <c r="Q26" s="1"/>
      <c r="R26" s="38"/>
      <c r="S26" s="1"/>
      <c r="T26" s="1"/>
      <c r="U26" s="1"/>
      <c r="V26" s="1"/>
      <c r="W26" s="1"/>
      <c r="X26" s="1"/>
      <c r="Y26" s="1"/>
      <c r="Z26" s="1"/>
    </row>
    <row r="27">
      <c r="A27" s="19" t="s">
        <v>17</v>
      </c>
      <c r="B27" s="20">
        <v>20.0</v>
      </c>
      <c r="C27" s="20">
        <v>30.0</v>
      </c>
      <c r="D27" s="20">
        <v>45.0</v>
      </c>
      <c r="E27" s="20">
        <v>30.0</v>
      </c>
      <c r="F27" s="20">
        <v>60.0</v>
      </c>
      <c r="G27" s="20">
        <v>120.0</v>
      </c>
      <c r="H27" s="20">
        <v>75.0</v>
      </c>
      <c r="I27" s="20">
        <v>150.0</v>
      </c>
      <c r="J27" s="20">
        <v>300.0</v>
      </c>
      <c r="K27" s="1"/>
      <c r="L27" s="19" t="s">
        <v>17</v>
      </c>
      <c r="M27" s="16">
        <f t="shared" ref="M27:M39" si="3">SUM(B27:J27)</f>
        <v>830</v>
      </c>
      <c r="N27" s="16">
        <f t="shared" ref="N27:N39" si="4">M27*2</f>
        <v>1660</v>
      </c>
      <c r="O27" s="1"/>
      <c r="P27" s="40" t="s">
        <v>17</v>
      </c>
      <c r="Q27" s="16">
        <f t="shared" ref="Q27:Q38" si="5">(M9*5)+M27</f>
        <v>4980</v>
      </c>
      <c r="R27" s="41">
        <f t="shared" ref="R27:R39" si="6">Q27*2</f>
        <v>9960</v>
      </c>
      <c r="S27" s="1"/>
      <c r="T27" s="1"/>
      <c r="U27" s="1"/>
      <c r="V27" s="1"/>
      <c r="W27" s="1"/>
      <c r="X27" s="1"/>
      <c r="Y27" s="1"/>
      <c r="Z27" s="1"/>
    </row>
    <row r="28">
      <c r="A28" s="19" t="s">
        <v>18</v>
      </c>
      <c r="B28" s="20">
        <v>200.0</v>
      </c>
      <c r="C28" s="20">
        <v>200.0</v>
      </c>
      <c r="D28" s="20">
        <v>500.0</v>
      </c>
      <c r="E28" s="20">
        <v>300.0</v>
      </c>
      <c r="F28" s="20">
        <v>300.0</v>
      </c>
      <c r="G28" s="16">
        <v>1000.0</v>
      </c>
      <c r="H28" s="20">
        <v>600.0</v>
      </c>
      <c r="I28" s="20">
        <v>600.0</v>
      </c>
      <c r="J28" s="16">
        <v>1500.0</v>
      </c>
      <c r="K28" s="1"/>
      <c r="L28" s="19" t="s">
        <v>18</v>
      </c>
      <c r="M28" s="16">
        <f t="shared" si="3"/>
        <v>5200</v>
      </c>
      <c r="N28" s="16">
        <f t="shared" si="4"/>
        <v>10400</v>
      </c>
      <c r="O28" s="1"/>
      <c r="P28" s="40" t="s">
        <v>18</v>
      </c>
      <c r="Q28" s="16">
        <f t="shared" si="5"/>
        <v>5200</v>
      </c>
      <c r="R28" s="41">
        <f t="shared" si="6"/>
        <v>10400</v>
      </c>
      <c r="S28" s="1"/>
      <c r="T28" s="1"/>
      <c r="U28" s="1"/>
      <c r="V28" s="1"/>
      <c r="W28" s="1"/>
      <c r="X28" s="1"/>
      <c r="Y28" s="1"/>
      <c r="Z28" s="1"/>
    </row>
    <row r="29">
      <c r="A29" s="21" t="s">
        <v>19</v>
      </c>
      <c r="B29" s="10"/>
      <c r="C29" s="10"/>
      <c r="D29" s="10"/>
      <c r="E29" s="10"/>
      <c r="F29" s="10"/>
      <c r="G29" s="10"/>
      <c r="H29" s="10"/>
      <c r="I29" s="10"/>
      <c r="J29" s="10"/>
      <c r="K29" s="1"/>
      <c r="L29" s="21" t="s">
        <v>19</v>
      </c>
      <c r="M29" s="16">
        <f t="shared" si="3"/>
        <v>0</v>
      </c>
      <c r="N29" s="16">
        <f t="shared" si="4"/>
        <v>0</v>
      </c>
      <c r="O29" s="1"/>
      <c r="P29" s="42" t="s">
        <v>19</v>
      </c>
      <c r="Q29" s="16">
        <f t="shared" si="5"/>
        <v>205</v>
      </c>
      <c r="R29" s="41">
        <f t="shared" si="6"/>
        <v>410</v>
      </c>
      <c r="S29" s="1"/>
      <c r="T29" s="1"/>
      <c r="U29" s="1"/>
      <c r="V29" s="1"/>
      <c r="W29" s="1"/>
      <c r="X29" s="1"/>
      <c r="Y29" s="1"/>
      <c r="Z29" s="1"/>
    </row>
    <row r="30">
      <c r="A30" s="21" t="s">
        <v>21</v>
      </c>
      <c r="B30" s="20">
        <v>2.0</v>
      </c>
      <c r="C30" s="20">
        <v>3.0</v>
      </c>
      <c r="D30" s="10"/>
      <c r="E30" s="20">
        <v>8.0</v>
      </c>
      <c r="F30" s="20">
        <v>12.0</v>
      </c>
      <c r="G30" s="10"/>
      <c r="H30" s="20">
        <v>16.0</v>
      </c>
      <c r="I30" s="10"/>
      <c r="J30" s="10"/>
      <c r="K30" s="1"/>
      <c r="L30" s="21" t="s">
        <v>21</v>
      </c>
      <c r="M30" s="16">
        <f t="shared" si="3"/>
        <v>41</v>
      </c>
      <c r="N30" s="16">
        <f t="shared" si="4"/>
        <v>82</v>
      </c>
      <c r="O30" s="1"/>
      <c r="P30" s="42" t="s">
        <v>21</v>
      </c>
      <c r="Q30" s="16">
        <f t="shared" si="5"/>
        <v>246</v>
      </c>
      <c r="R30" s="41">
        <f t="shared" si="6"/>
        <v>492</v>
      </c>
      <c r="S30" s="1"/>
      <c r="T30" s="1"/>
      <c r="U30" s="1"/>
      <c r="V30" s="1"/>
      <c r="W30" s="1"/>
      <c r="X30" s="1"/>
      <c r="Y30" s="1"/>
      <c r="Z30" s="1"/>
    </row>
    <row r="31">
      <c r="A31" s="21" t="s">
        <v>22</v>
      </c>
      <c r="B31" s="20">
        <v>2.0</v>
      </c>
      <c r="C31" s="20">
        <v>3.0</v>
      </c>
      <c r="D31" s="10"/>
      <c r="E31" s="20">
        <v>8.0</v>
      </c>
      <c r="F31" s="20">
        <v>12.0</v>
      </c>
      <c r="G31" s="10"/>
      <c r="H31" s="20">
        <v>16.0</v>
      </c>
      <c r="I31" s="10"/>
      <c r="J31" s="10"/>
      <c r="K31" s="1"/>
      <c r="L31" s="21" t="s">
        <v>22</v>
      </c>
      <c r="M31" s="16">
        <f t="shared" si="3"/>
        <v>41</v>
      </c>
      <c r="N31" s="16">
        <f t="shared" si="4"/>
        <v>82</v>
      </c>
      <c r="O31" s="1"/>
      <c r="P31" s="42" t="s">
        <v>22</v>
      </c>
      <c r="Q31" s="16">
        <f t="shared" si="5"/>
        <v>246</v>
      </c>
      <c r="R31" s="41">
        <f t="shared" si="6"/>
        <v>492</v>
      </c>
      <c r="S31" s="1"/>
      <c r="T31" s="1"/>
      <c r="U31" s="1"/>
      <c r="V31" s="1"/>
      <c r="W31" s="1"/>
      <c r="X31" s="1"/>
      <c r="Y31" s="1"/>
      <c r="Z31" s="1"/>
    </row>
    <row r="32">
      <c r="A32" s="21" t="s">
        <v>23</v>
      </c>
      <c r="B32" s="20">
        <v>2.0</v>
      </c>
      <c r="C32" s="20">
        <v>3.0</v>
      </c>
      <c r="D32" s="10"/>
      <c r="E32" s="20">
        <v>8.0</v>
      </c>
      <c r="F32" s="20">
        <v>12.0</v>
      </c>
      <c r="G32" s="10"/>
      <c r="H32" s="20">
        <v>16.0</v>
      </c>
      <c r="I32" s="10"/>
      <c r="J32" s="10"/>
      <c r="K32" s="1"/>
      <c r="L32" s="21" t="s">
        <v>23</v>
      </c>
      <c r="M32" s="16">
        <f t="shared" si="3"/>
        <v>41</v>
      </c>
      <c r="N32" s="16">
        <f t="shared" si="4"/>
        <v>82</v>
      </c>
      <c r="O32" s="1"/>
      <c r="P32" s="42" t="s">
        <v>23</v>
      </c>
      <c r="Q32" s="16">
        <f t="shared" si="5"/>
        <v>246</v>
      </c>
      <c r="R32" s="41">
        <f t="shared" si="6"/>
        <v>492</v>
      </c>
      <c r="S32" s="1"/>
      <c r="T32" s="1"/>
      <c r="U32" s="1"/>
      <c r="V32" s="1"/>
      <c r="W32" s="1"/>
      <c r="X32" s="1"/>
      <c r="Y32" s="1"/>
      <c r="Z32" s="1"/>
    </row>
    <row r="33">
      <c r="A33" s="22" t="s">
        <v>24</v>
      </c>
      <c r="B33" s="10"/>
      <c r="C33" s="10"/>
      <c r="D33" s="20">
        <v>1.0</v>
      </c>
      <c r="E33" s="10"/>
      <c r="F33" s="10"/>
      <c r="G33" s="20">
        <v>2.0</v>
      </c>
      <c r="H33" s="10"/>
      <c r="I33" s="10"/>
      <c r="J33" s="10"/>
      <c r="K33" s="1"/>
      <c r="L33" s="22" t="s">
        <v>24</v>
      </c>
      <c r="M33" s="16">
        <f t="shared" si="3"/>
        <v>3</v>
      </c>
      <c r="N33" s="16">
        <f t="shared" si="4"/>
        <v>6</v>
      </c>
      <c r="O33" s="1"/>
      <c r="P33" s="43" t="s">
        <v>24</v>
      </c>
      <c r="Q33" s="16">
        <f t="shared" si="5"/>
        <v>18</v>
      </c>
      <c r="R33" s="41">
        <f t="shared" si="6"/>
        <v>36</v>
      </c>
      <c r="S33" s="1"/>
      <c r="T33" s="1"/>
      <c r="U33" s="1"/>
      <c r="V33" s="1"/>
      <c r="W33" s="1"/>
      <c r="X33" s="1"/>
      <c r="Y33" s="1"/>
      <c r="Z33" s="1"/>
    </row>
    <row r="34">
      <c r="A34" s="22" t="s">
        <v>25</v>
      </c>
      <c r="B34" s="10"/>
      <c r="C34" s="10"/>
      <c r="D34" s="10"/>
      <c r="E34" s="10"/>
      <c r="F34" s="10"/>
      <c r="G34" s="10"/>
      <c r="H34" s="10"/>
      <c r="I34" s="10"/>
      <c r="J34" s="10"/>
      <c r="K34" s="1"/>
      <c r="L34" s="22" t="s">
        <v>25</v>
      </c>
      <c r="M34" s="16">
        <f t="shared" si="3"/>
        <v>0</v>
      </c>
      <c r="N34" s="16">
        <f t="shared" si="4"/>
        <v>0</v>
      </c>
      <c r="O34" s="1"/>
      <c r="P34" s="43" t="s">
        <v>25</v>
      </c>
      <c r="Q34" s="16">
        <f t="shared" si="5"/>
        <v>40</v>
      </c>
      <c r="R34" s="41">
        <f t="shared" si="6"/>
        <v>80</v>
      </c>
      <c r="S34" s="1"/>
      <c r="T34" s="1"/>
      <c r="U34" s="1"/>
      <c r="V34" s="1"/>
      <c r="W34" s="1"/>
      <c r="X34" s="1"/>
      <c r="Y34" s="1"/>
      <c r="Z34" s="1"/>
    </row>
    <row r="35">
      <c r="A35" s="22" t="s">
        <v>26</v>
      </c>
      <c r="B35" s="10"/>
      <c r="C35" s="10"/>
      <c r="D35" s="20">
        <v>2.0</v>
      </c>
      <c r="E35" s="10"/>
      <c r="F35" s="10"/>
      <c r="G35" s="20">
        <v>50.0</v>
      </c>
      <c r="H35" s="10"/>
      <c r="I35" s="10"/>
      <c r="J35" s="10"/>
      <c r="K35" s="1"/>
      <c r="L35" s="22" t="s">
        <v>26</v>
      </c>
      <c r="M35" s="16">
        <f t="shared" si="3"/>
        <v>52</v>
      </c>
      <c r="N35" s="16">
        <f t="shared" si="4"/>
        <v>104</v>
      </c>
      <c r="O35" s="1"/>
      <c r="P35" s="43" t="s">
        <v>26</v>
      </c>
      <c r="Q35" s="16">
        <f t="shared" si="5"/>
        <v>452</v>
      </c>
      <c r="R35" s="41">
        <f t="shared" si="6"/>
        <v>904</v>
      </c>
      <c r="S35" s="1"/>
      <c r="T35" s="1"/>
      <c r="U35" s="1"/>
      <c r="V35" s="1"/>
      <c r="W35" s="1"/>
      <c r="X35" s="1"/>
      <c r="Y35" s="1"/>
      <c r="Z35" s="1"/>
    </row>
    <row r="36">
      <c r="A36" s="23" t="s">
        <v>27</v>
      </c>
      <c r="B36" s="10"/>
      <c r="C36" s="10"/>
      <c r="D36" s="16">
        <v>10000.0</v>
      </c>
      <c r="E36" s="10"/>
      <c r="F36" s="10"/>
      <c r="G36" s="16">
        <v>20000.0</v>
      </c>
      <c r="H36" s="10"/>
      <c r="I36" s="16">
        <v>40000.0</v>
      </c>
      <c r="J36" s="16">
        <v>40000.0</v>
      </c>
      <c r="K36" s="1"/>
      <c r="L36" s="23" t="s">
        <v>27</v>
      </c>
      <c r="M36" s="16">
        <f t="shared" si="3"/>
        <v>110000</v>
      </c>
      <c r="N36" s="16">
        <f t="shared" si="4"/>
        <v>220000</v>
      </c>
      <c r="O36" s="1"/>
      <c r="P36" s="44" t="s">
        <v>27</v>
      </c>
      <c r="Q36" s="16">
        <f t="shared" si="5"/>
        <v>660000</v>
      </c>
      <c r="R36" s="41">
        <f t="shared" si="6"/>
        <v>1320000</v>
      </c>
      <c r="S36" s="1"/>
      <c r="T36" s="1"/>
      <c r="U36" s="1"/>
      <c r="V36" s="1"/>
      <c r="W36" s="1"/>
      <c r="X36" s="1"/>
      <c r="Y36" s="1"/>
      <c r="Z36" s="1"/>
    </row>
    <row r="37">
      <c r="A37" s="19" t="s">
        <v>28</v>
      </c>
      <c r="B37" s="10"/>
      <c r="C37" s="10"/>
      <c r="D37" s="10"/>
      <c r="E37" s="10"/>
      <c r="F37" s="10"/>
      <c r="G37" s="10"/>
      <c r="H37" s="10"/>
      <c r="I37" s="20">
        <v>1.0</v>
      </c>
      <c r="J37" s="20">
        <v>1.0</v>
      </c>
      <c r="K37" s="1"/>
      <c r="L37" s="19" t="s">
        <v>28</v>
      </c>
      <c r="M37" s="16">
        <f t="shared" si="3"/>
        <v>2</v>
      </c>
      <c r="N37" s="16">
        <f t="shared" si="4"/>
        <v>4</v>
      </c>
      <c r="O37" s="1"/>
      <c r="P37" s="40" t="s">
        <v>28</v>
      </c>
      <c r="Q37" s="16">
        <f t="shared" si="5"/>
        <v>12</v>
      </c>
      <c r="R37" s="41">
        <f t="shared" si="6"/>
        <v>24</v>
      </c>
      <c r="S37" s="1"/>
      <c r="T37" s="1"/>
      <c r="U37" s="1"/>
      <c r="V37" s="1"/>
      <c r="W37" s="1"/>
      <c r="X37" s="1"/>
      <c r="Y37" s="1"/>
      <c r="Z37" s="1"/>
    </row>
    <row r="38">
      <c r="A38" s="19" t="s">
        <v>29</v>
      </c>
      <c r="B38" s="10"/>
      <c r="C38" s="10"/>
      <c r="D38" s="10"/>
      <c r="E38" s="10"/>
      <c r="F38" s="10"/>
      <c r="G38" s="10"/>
      <c r="H38" s="10"/>
      <c r="I38" s="20">
        <v>10.0</v>
      </c>
      <c r="J38" s="20">
        <v>10.0</v>
      </c>
      <c r="K38" s="1"/>
      <c r="L38" s="19" t="s">
        <v>29</v>
      </c>
      <c r="M38" s="16">
        <f t="shared" si="3"/>
        <v>20</v>
      </c>
      <c r="N38" s="16">
        <f t="shared" si="4"/>
        <v>40</v>
      </c>
      <c r="O38" s="1"/>
      <c r="P38" s="40" t="s">
        <v>29</v>
      </c>
      <c r="Q38" s="16">
        <f t="shared" si="5"/>
        <v>120</v>
      </c>
      <c r="R38" s="41">
        <f t="shared" si="6"/>
        <v>240</v>
      </c>
      <c r="S38" s="1"/>
      <c r="T38" s="1"/>
      <c r="U38" s="1"/>
      <c r="V38" s="1"/>
      <c r="W38" s="1"/>
      <c r="X38" s="1"/>
      <c r="Y38" s="1"/>
      <c r="Z38" s="1"/>
    </row>
    <row r="39">
      <c r="A39" s="27" t="s">
        <v>30</v>
      </c>
      <c r="B39" s="28"/>
      <c r="C39" s="28"/>
      <c r="D39" s="29">
        <v>30.0</v>
      </c>
      <c r="E39" s="28"/>
      <c r="F39" s="28"/>
      <c r="G39" s="29">
        <v>3.0</v>
      </c>
      <c r="H39" s="28"/>
      <c r="I39" s="29">
        <v>5.0</v>
      </c>
      <c r="J39" s="29">
        <v>5.0</v>
      </c>
      <c r="K39" s="1"/>
      <c r="L39" s="27" t="s">
        <v>30</v>
      </c>
      <c r="M39" s="16">
        <f t="shared" si="3"/>
        <v>43</v>
      </c>
      <c r="N39" s="29">
        <f t="shared" si="4"/>
        <v>86</v>
      </c>
      <c r="O39" s="1"/>
      <c r="P39" s="45" t="s">
        <v>30</v>
      </c>
      <c r="Q39" s="46">
        <f>SUM(M21*5)+M39</f>
        <v>118</v>
      </c>
      <c r="R39" s="47">
        <f t="shared" si="6"/>
        <v>236</v>
      </c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8" t="s">
        <v>35</v>
      </c>
      <c r="B41" s="49"/>
      <c r="C41" s="50"/>
      <c r="D41" s="1"/>
      <c r="E41" s="51" t="s">
        <v>36</v>
      </c>
      <c r="F41" s="52"/>
      <c r="G41" s="5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4"/>
      <c r="B42" s="1" t="s">
        <v>37</v>
      </c>
      <c r="C42" s="55"/>
      <c r="D42" s="1"/>
      <c r="E42" s="36"/>
      <c r="F42" s="1"/>
      <c r="G42" s="3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4" t="s">
        <v>38</v>
      </c>
      <c r="B43" s="56" t="s">
        <v>39</v>
      </c>
      <c r="C43" s="57" t="s">
        <v>40</v>
      </c>
      <c r="D43" s="1"/>
      <c r="E43" s="36" t="s">
        <v>38</v>
      </c>
      <c r="F43" s="56" t="s">
        <v>39</v>
      </c>
      <c r="G43" s="58" t="s">
        <v>40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9" t="s">
        <v>41</v>
      </c>
      <c r="B44" s="1"/>
      <c r="C44" s="55"/>
      <c r="D44" s="1"/>
      <c r="E44" s="36"/>
      <c r="F44" s="1"/>
      <c r="G44" s="38"/>
      <c r="H44" s="1"/>
      <c r="I44" s="1"/>
      <c r="J44" s="1"/>
      <c r="K44" s="1"/>
      <c r="L44" s="60" t="s">
        <v>42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1" t="s">
        <v>17</v>
      </c>
      <c r="B45" s="20">
        <v>140.0</v>
      </c>
      <c r="C45" s="62">
        <v>160.0</v>
      </c>
      <c r="D45" s="1"/>
      <c r="E45" s="63" t="s">
        <v>17</v>
      </c>
      <c r="F45" s="64">
        <f t="shared" ref="F45:G45" si="7">B45*6</f>
        <v>840</v>
      </c>
      <c r="G45" s="65">
        <f t="shared" si="7"/>
        <v>960</v>
      </c>
      <c r="H45" s="1"/>
      <c r="I45" s="1"/>
      <c r="J45" s="1"/>
      <c r="K45" s="1"/>
      <c r="L45" s="1"/>
      <c r="M45" s="1"/>
      <c r="N45" s="1"/>
      <c r="O45" s="1"/>
      <c r="P45" s="1"/>
      <c r="Q45" s="66"/>
      <c r="R45" s="1"/>
      <c r="S45" s="1"/>
      <c r="T45" s="1"/>
      <c r="U45" s="1"/>
      <c r="V45" s="1"/>
      <c r="W45" s="1"/>
      <c r="X45" s="1"/>
      <c r="Y45" s="1"/>
      <c r="Z45" s="1"/>
    </row>
    <row r="46">
      <c r="A46" s="67" t="s">
        <v>25</v>
      </c>
      <c r="B46" s="20">
        <v>6.0</v>
      </c>
      <c r="C46" s="62">
        <v>8.0</v>
      </c>
      <c r="D46" s="1"/>
      <c r="E46" s="68" t="s">
        <v>25</v>
      </c>
      <c r="F46" s="64">
        <f t="shared" ref="F46:G46" si="8">B46*6</f>
        <v>36</v>
      </c>
      <c r="G46" s="65">
        <f t="shared" si="8"/>
        <v>48</v>
      </c>
      <c r="H46" s="1"/>
      <c r="I46" s="1"/>
      <c r="J46" s="1"/>
      <c r="K46" s="1"/>
      <c r="L46" s="19" t="s">
        <v>17</v>
      </c>
      <c r="M46" s="16">
        <f>(R27+C53+G45+J75)</f>
        <v>13620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9" t="s">
        <v>19</v>
      </c>
      <c r="B47" s="20">
        <v>20.0</v>
      </c>
      <c r="C47" s="62">
        <v>20.0</v>
      </c>
      <c r="D47" s="1"/>
      <c r="E47" s="70" t="s">
        <v>19</v>
      </c>
      <c r="F47" s="64">
        <f t="shared" ref="F47:G47" si="9">B47*6</f>
        <v>120</v>
      </c>
      <c r="G47" s="65">
        <f t="shared" si="9"/>
        <v>120</v>
      </c>
      <c r="H47" s="1"/>
      <c r="I47" s="1"/>
      <c r="J47" s="1"/>
      <c r="K47" s="1"/>
      <c r="L47" s="19" t="s">
        <v>18</v>
      </c>
      <c r="M47" s="16">
        <f>R28</f>
        <v>10400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9" t="s">
        <v>21</v>
      </c>
      <c r="B48" s="20">
        <v>20.0</v>
      </c>
      <c r="C48" s="62">
        <v>20.0</v>
      </c>
      <c r="D48" s="1"/>
      <c r="E48" s="70" t="s">
        <v>21</v>
      </c>
      <c r="F48" s="64">
        <f t="shared" ref="F48:G48" si="10">B48*6</f>
        <v>120</v>
      </c>
      <c r="G48" s="65">
        <f t="shared" si="10"/>
        <v>120</v>
      </c>
      <c r="H48" s="1"/>
      <c r="I48" s="1"/>
      <c r="J48" s="1"/>
      <c r="K48" s="1"/>
      <c r="L48" s="21" t="s">
        <v>19</v>
      </c>
      <c r="M48" s="16">
        <f>R29+G47+C57</f>
        <v>580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9" t="s">
        <v>22</v>
      </c>
      <c r="B49" s="20">
        <v>20.0</v>
      </c>
      <c r="C49" s="62">
        <v>20.0</v>
      </c>
      <c r="D49" s="1"/>
      <c r="E49" s="70" t="s">
        <v>22</v>
      </c>
      <c r="F49" s="64">
        <f t="shared" ref="F49:G49" si="11">B49*6</f>
        <v>120</v>
      </c>
      <c r="G49" s="65">
        <f t="shared" si="11"/>
        <v>120</v>
      </c>
      <c r="H49" s="1"/>
      <c r="I49" s="1"/>
      <c r="J49" s="1"/>
      <c r="K49" s="1"/>
      <c r="L49" s="21" t="s">
        <v>21</v>
      </c>
      <c r="M49" s="16">
        <f>R30+G48+M75+C58</f>
        <v>722</v>
      </c>
      <c r="N49" s="1"/>
      <c r="O49" s="1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1" t="s">
        <v>23</v>
      </c>
      <c r="B50" s="72">
        <v>20.0</v>
      </c>
      <c r="C50" s="73">
        <v>20.0</v>
      </c>
      <c r="D50" s="1"/>
      <c r="E50" s="74" t="s">
        <v>23</v>
      </c>
      <c r="F50" s="75">
        <f t="shared" ref="F50:G50" si="12">B50*6</f>
        <v>120</v>
      </c>
      <c r="G50" s="76">
        <f t="shared" si="12"/>
        <v>120</v>
      </c>
      <c r="H50" s="1"/>
      <c r="I50" s="1"/>
      <c r="J50" s="1"/>
      <c r="K50" s="1"/>
      <c r="L50" s="21" t="s">
        <v>22</v>
      </c>
      <c r="M50" s="16">
        <f>R31+G49+N75+C59</f>
        <v>722</v>
      </c>
      <c r="N50" s="1"/>
      <c r="O50" s="1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1" t="s">
        <v>23</v>
      </c>
      <c r="M51" s="16">
        <f>R32+G50+O75+C60</f>
        <v>722</v>
      </c>
      <c r="N51" s="1"/>
      <c r="O51" s="1"/>
      <c r="P51" s="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7" t="s">
        <v>43</v>
      </c>
      <c r="B52" s="52"/>
      <c r="C52" s="53"/>
      <c r="D52" s="1"/>
      <c r="E52" s="1"/>
      <c r="F52" s="1"/>
      <c r="G52" s="1"/>
      <c r="H52" s="1"/>
      <c r="I52" s="1"/>
      <c r="J52" s="1"/>
      <c r="K52" s="1"/>
      <c r="L52" s="78" t="s">
        <v>44</v>
      </c>
      <c r="M52" s="20">
        <f>K75</f>
        <v>24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0" t="s">
        <v>17</v>
      </c>
      <c r="B53" s="20">
        <v>1000.0</v>
      </c>
      <c r="C53" s="41">
        <v>1500.0</v>
      </c>
      <c r="D53" s="1"/>
      <c r="E53" s="1"/>
      <c r="F53" s="1"/>
      <c r="G53" s="1"/>
      <c r="H53" s="1"/>
      <c r="I53" s="1"/>
      <c r="J53" s="1"/>
      <c r="K53" s="1"/>
      <c r="L53" s="22" t="s">
        <v>24</v>
      </c>
      <c r="M53" s="79">
        <f>R33+C56</f>
        <v>46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0" t="s">
        <v>28</v>
      </c>
      <c r="B54" s="20">
        <v>5.0</v>
      </c>
      <c r="C54" s="41">
        <v>6.0</v>
      </c>
      <c r="D54" s="1"/>
      <c r="E54" s="1"/>
      <c r="F54" s="1"/>
      <c r="G54" s="1"/>
      <c r="H54" s="1"/>
      <c r="I54" s="1"/>
      <c r="J54" s="1"/>
      <c r="K54" s="1"/>
      <c r="L54" s="22" t="s">
        <v>25</v>
      </c>
      <c r="M54" s="16">
        <f>R34+G46</f>
        <v>128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3" t="s">
        <v>25</v>
      </c>
      <c r="B55" s="10"/>
      <c r="C55" s="80"/>
      <c r="D55" s="1"/>
      <c r="E55" s="1"/>
      <c r="F55" s="1"/>
      <c r="G55" s="1"/>
      <c r="H55" s="1"/>
      <c r="I55" s="1"/>
      <c r="J55" s="1"/>
      <c r="K55" s="1"/>
      <c r="L55" s="22" t="s">
        <v>26</v>
      </c>
      <c r="M55" s="16">
        <f>R35+G46</f>
        <v>952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3" t="s">
        <v>45</v>
      </c>
      <c r="B56" s="20">
        <v>5.0</v>
      </c>
      <c r="C56" s="81">
        <v>10.0</v>
      </c>
      <c r="D56" s="1"/>
      <c r="E56" s="1"/>
      <c r="F56" s="1"/>
      <c r="G56" s="1"/>
      <c r="H56" s="3"/>
      <c r="I56" s="1"/>
      <c r="J56" s="1"/>
      <c r="K56" s="1"/>
      <c r="L56" s="23" t="s">
        <v>27</v>
      </c>
      <c r="M56" s="16">
        <f>R36+L75</f>
        <v>1800000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2" t="s">
        <v>19</v>
      </c>
      <c r="B57" s="20">
        <v>50.0</v>
      </c>
      <c r="C57" s="81">
        <v>50.0</v>
      </c>
      <c r="D57" s="1"/>
      <c r="E57" s="1"/>
      <c r="F57" s="1"/>
      <c r="G57" s="1"/>
      <c r="H57" s="4"/>
      <c r="I57" s="1"/>
      <c r="J57" s="1"/>
      <c r="K57" s="1"/>
      <c r="L57" s="19" t="s">
        <v>28</v>
      </c>
      <c r="M57" s="16">
        <f>R37+C54</f>
        <v>30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2" t="s">
        <v>21</v>
      </c>
      <c r="B58" s="20">
        <v>50.0</v>
      </c>
      <c r="C58" s="81">
        <v>50.0</v>
      </c>
      <c r="D58" s="1"/>
      <c r="E58" s="1"/>
      <c r="F58" s="1"/>
      <c r="G58" s="1"/>
      <c r="H58" s="5"/>
      <c r="I58" s="1"/>
      <c r="J58" s="1"/>
      <c r="K58" s="1"/>
      <c r="L58" s="19" t="s">
        <v>29</v>
      </c>
      <c r="M58" s="16">
        <f t="shared" ref="M58:M59" si="13">R38</f>
        <v>240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2" t="s">
        <v>22</v>
      </c>
      <c r="B59" s="20">
        <v>50.0</v>
      </c>
      <c r="C59" s="81">
        <v>50.0</v>
      </c>
      <c r="D59" s="1"/>
      <c r="E59" s="1"/>
      <c r="F59" s="1"/>
      <c r="G59" s="1"/>
      <c r="H59" s="1"/>
      <c r="I59" s="1"/>
      <c r="J59" s="1"/>
      <c r="K59" s="1"/>
      <c r="L59" s="27" t="s">
        <v>30</v>
      </c>
      <c r="M59" s="82">
        <f t="shared" si="13"/>
        <v>236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83" t="s">
        <v>23</v>
      </c>
      <c r="B60" s="84">
        <v>50.0</v>
      </c>
      <c r="C60" s="85">
        <v>50.0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86" t="s">
        <v>46</v>
      </c>
      <c r="B62" s="49"/>
      <c r="C62" s="5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1" t="s">
        <v>17</v>
      </c>
      <c r="B63" s="20">
        <v>500.0</v>
      </c>
      <c r="C63" s="62">
        <v>1000.0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1" t="s">
        <v>28</v>
      </c>
      <c r="B64" s="20">
        <v>4.0</v>
      </c>
      <c r="C64" s="62">
        <v>5.0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7" t="s">
        <v>25</v>
      </c>
      <c r="B65" s="10"/>
      <c r="C65" s="8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7" t="s">
        <v>45</v>
      </c>
      <c r="B66" s="20">
        <v>2.0</v>
      </c>
      <c r="C66" s="62">
        <v>5.0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9" t="s">
        <v>19</v>
      </c>
      <c r="B67" s="20">
        <v>50.0</v>
      </c>
      <c r="C67" s="62">
        <v>50.0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9" t="s">
        <v>21</v>
      </c>
      <c r="B68" s="20">
        <v>50.0</v>
      </c>
      <c r="C68" s="62">
        <v>50.0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9" t="s">
        <v>22</v>
      </c>
      <c r="B69" s="20">
        <v>50.0</v>
      </c>
      <c r="C69" s="62">
        <v>50.0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1" t="s">
        <v>23</v>
      </c>
      <c r="B70" s="72">
        <v>50.0</v>
      </c>
      <c r="C70" s="73">
        <v>50.0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8"/>
      <c r="B73" s="89" t="s">
        <v>47</v>
      </c>
      <c r="C73" s="49"/>
      <c r="D73" s="49"/>
      <c r="E73" s="49"/>
      <c r="F73" s="49"/>
      <c r="G73" s="50"/>
      <c r="H73" s="1"/>
      <c r="I73" s="33"/>
      <c r="J73" s="34" t="s">
        <v>48</v>
      </c>
      <c r="K73" s="52"/>
      <c r="L73" s="52"/>
      <c r="M73" s="52"/>
      <c r="N73" s="52"/>
      <c r="O73" s="5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0" t="s">
        <v>49</v>
      </c>
      <c r="B74" s="19" t="s">
        <v>17</v>
      </c>
      <c r="C74" s="21" t="s">
        <v>44</v>
      </c>
      <c r="D74" s="23" t="s">
        <v>50</v>
      </c>
      <c r="E74" s="21" t="s">
        <v>21</v>
      </c>
      <c r="F74" s="21" t="s">
        <v>22</v>
      </c>
      <c r="G74" s="91" t="s">
        <v>23</v>
      </c>
      <c r="H74" s="1"/>
      <c r="I74" s="92" t="s">
        <v>49</v>
      </c>
      <c r="J74" s="19" t="s">
        <v>17</v>
      </c>
      <c r="K74" s="21" t="s">
        <v>44</v>
      </c>
      <c r="L74" s="23" t="s">
        <v>50</v>
      </c>
      <c r="M74" s="21" t="s">
        <v>21</v>
      </c>
      <c r="N74" s="21" t="s">
        <v>22</v>
      </c>
      <c r="O74" s="93" t="s">
        <v>23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94">
        <v>1.0</v>
      </c>
      <c r="B75" s="20">
        <v>200.0</v>
      </c>
      <c r="C75" s="20">
        <v>4.0</v>
      </c>
      <c r="D75" s="16">
        <v>80000.0</v>
      </c>
      <c r="E75" s="20">
        <v>10.0</v>
      </c>
      <c r="F75" s="20">
        <v>10.0</v>
      </c>
      <c r="G75" s="62">
        <v>10.0</v>
      </c>
      <c r="H75" s="1"/>
      <c r="I75" s="95">
        <v>1.0</v>
      </c>
      <c r="J75" s="20">
        <f t="shared" ref="J75:O75" si="14">B75*6</f>
        <v>1200</v>
      </c>
      <c r="K75" s="20">
        <f t="shared" si="14"/>
        <v>24</v>
      </c>
      <c r="L75" s="20">
        <f t="shared" si="14"/>
        <v>480000</v>
      </c>
      <c r="M75" s="20">
        <f t="shared" si="14"/>
        <v>60</v>
      </c>
      <c r="N75" s="20">
        <f t="shared" si="14"/>
        <v>60</v>
      </c>
      <c r="O75" s="81">
        <f t="shared" si="14"/>
        <v>60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94">
        <v>2.0</v>
      </c>
      <c r="B76" s="20">
        <v>100.0</v>
      </c>
      <c r="C76" s="20">
        <v>2.0</v>
      </c>
      <c r="D76" s="16">
        <v>60000.0</v>
      </c>
      <c r="E76" s="20">
        <v>8.0</v>
      </c>
      <c r="F76" s="20">
        <v>8.0</v>
      </c>
      <c r="G76" s="62">
        <v>8.0</v>
      </c>
      <c r="H76" s="1"/>
      <c r="I76" s="95">
        <v>2.0</v>
      </c>
      <c r="J76" s="20">
        <f t="shared" ref="J76:O76" si="15">B76*6</f>
        <v>600</v>
      </c>
      <c r="K76" s="20">
        <f t="shared" si="15"/>
        <v>12</v>
      </c>
      <c r="L76" s="20">
        <f t="shared" si="15"/>
        <v>360000</v>
      </c>
      <c r="M76" s="20">
        <f t="shared" si="15"/>
        <v>48</v>
      </c>
      <c r="N76" s="20">
        <f t="shared" si="15"/>
        <v>48</v>
      </c>
      <c r="O76" s="81">
        <f t="shared" si="15"/>
        <v>48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94">
        <v>3.0</v>
      </c>
      <c r="B77" s="20">
        <v>50.0</v>
      </c>
      <c r="C77" s="20">
        <v>2.0</v>
      </c>
      <c r="D77" s="16">
        <v>50000.0</v>
      </c>
      <c r="E77" s="20">
        <v>6.0</v>
      </c>
      <c r="F77" s="20">
        <v>6.0</v>
      </c>
      <c r="G77" s="62">
        <v>6.0</v>
      </c>
      <c r="H77" s="1"/>
      <c r="I77" s="95">
        <v>3.0</v>
      </c>
      <c r="J77" s="20">
        <f t="shared" ref="J77:O77" si="16">B77*6</f>
        <v>300</v>
      </c>
      <c r="K77" s="20">
        <f t="shared" si="16"/>
        <v>12</v>
      </c>
      <c r="L77" s="20">
        <f t="shared" si="16"/>
        <v>300000</v>
      </c>
      <c r="M77" s="20">
        <f t="shared" si="16"/>
        <v>36</v>
      </c>
      <c r="N77" s="20">
        <f t="shared" si="16"/>
        <v>36</v>
      </c>
      <c r="O77" s="81">
        <f t="shared" si="16"/>
        <v>36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6" t="s">
        <v>51</v>
      </c>
      <c r="B78" s="20">
        <v>20.0</v>
      </c>
      <c r="C78" s="10"/>
      <c r="D78" s="16">
        <v>40.0</v>
      </c>
      <c r="E78" s="20">
        <v>4.0</v>
      </c>
      <c r="F78" s="20">
        <v>4.0</v>
      </c>
      <c r="G78" s="62">
        <v>4.0</v>
      </c>
      <c r="H78" s="1"/>
      <c r="I78" s="97" t="s">
        <v>51</v>
      </c>
      <c r="J78" s="20">
        <f>B78*6</f>
        <v>120</v>
      </c>
      <c r="K78" s="10"/>
      <c r="L78" s="20">
        <f t="shared" ref="L78:O78" si="17">D78*6</f>
        <v>240</v>
      </c>
      <c r="M78" s="20">
        <f t="shared" si="17"/>
        <v>24</v>
      </c>
      <c r="N78" s="20">
        <f t="shared" si="17"/>
        <v>24</v>
      </c>
      <c r="O78" s="81">
        <f t="shared" si="17"/>
        <v>24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98" t="s">
        <v>52</v>
      </c>
      <c r="B79" s="99"/>
      <c r="C79" s="99"/>
      <c r="D79" s="100">
        <v>32.0</v>
      </c>
      <c r="E79" s="72">
        <v>2.0</v>
      </c>
      <c r="F79" s="72">
        <v>2.0</v>
      </c>
      <c r="G79" s="73">
        <v>2.0</v>
      </c>
      <c r="H79" s="1"/>
      <c r="I79" s="101" t="s">
        <v>52</v>
      </c>
      <c r="J79" s="102"/>
      <c r="K79" s="102"/>
      <c r="L79" s="84">
        <f t="shared" ref="L79:O79" si="18">D79*6</f>
        <v>192</v>
      </c>
      <c r="M79" s="84">
        <f t="shared" si="18"/>
        <v>12</v>
      </c>
      <c r="N79" s="84">
        <f t="shared" si="18"/>
        <v>12</v>
      </c>
      <c r="O79" s="85">
        <f t="shared" si="18"/>
        <v>12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5:J5"/>
    <mergeCell ref="L5:R5"/>
    <mergeCell ref="A23:J23"/>
  </mergeCells>
  <drawing r:id="rId1"/>
</worksheet>
</file>
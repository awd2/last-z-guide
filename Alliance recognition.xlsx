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<sst xmlns="http://schemas.openxmlformats.org/spreadsheetml/2006/main" count="31" uniqueCount="24">
  <si>
    <t>Alliance Recognition Research Cost</t>
  </si>
  <si>
    <t>Research Item</t>
  </si>
  <si>
    <t>Lvl</t>
  </si>
  <si>
    <t>Badges</t>
  </si>
  <si>
    <t>Collect Wood</t>
  </si>
  <si>
    <t>Zent Gatherer</t>
  </si>
  <si>
    <t>Premium Rewards</t>
  </si>
  <si>
    <t>Event Expert</t>
  </si>
  <si>
    <t>Augmented Engine</t>
  </si>
  <si>
    <t>Transport Capacity Up</t>
  </si>
  <si>
    <t>Production Line Expansion</t>
  </si>
  <si>
    <t>Fast Production</t>
  </si>
  <si>
    <t>Super Rewards</t>
  </si>
  <si>
    <t>Incentive - Gathering</t>
  </si>
  <si>
    <t>Incentive - Modified Vehicle</t>
  </si>
  <si>
    <t>Incentive - Development</t>
  </si>
  <si>
    <t>Incentive - Equipment</t>
  </si>
  <si>
    <t>Incentive - Creeps</t>
  </si>
  <si>
    <t>Incentive - Training</t>
  </si>
  <si>
    <t>Incentive - Recruiting</t>
  </si>
  <si>
    <t>Incentive - Killing</t>
  </si>
  <si>
    <t>Event King</t>
  </si>
  <si>
    <t>One More!</t>
  </si>
  <si>
    <t>Total Badges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</si>
</sst>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22.0"/>
      <color rgb="FFFF0000"/>
      <name val="Arial"/>
    </font>
    <font>
      <b/>
      <sz val="11.0"/>
      <color theme="1"/>
      <name val="Arial"/>
    </font>
    <font>
      <u/>
      <color rgb="FF1155CC"/>
      <name val="Arial"/>
    </font>
    <font>
      <b/>
      <sz val="12.0"/>
      <color theme="1"/>
      <name val="Ebrima"/>
    </font>
    <font>
      <u/>
      <color rgb="FF1155CC"/>
      <name val="Arial"/>
    </font>
    <font>
      <u/>
      <color rgb="FF1155CC"/>
      <name val="Arial"/>
    </font>
    <font>
      <b/>
      <color theme="1"/>
      <name val="Ebrima"/>
    </font>
    <font>
      <b/>
      <sz val="11.0"/>
      <color theme="1"/>
      <name val="Ebrima"/>
    </font>
    <font>
      <b/>
      <sz val="14.0"/>
      <color theme="1"/>
      <name val="Arial"/>
    </font>
  </fonts>
  <fills count="6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46BDC6"/>
        <bgColor rgb="FF46BDC6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63BE7B"/>
        <bgColor rgb="FF63BE7B"/>
      </patternFill>
    </fill>
    <fill>
      <patternFill patternType="solid">
        <fgColor rgb="FF68BF7B"/>
        <bgColor rgb="FF68BF7B"/>
      </patternFill>
    </fill>
    <fill>
      <patternFill patternType="solid">
        <fgColor rgb="FF6EC17B"/>
        <bgColor rgb="FF6EC17B"/>
      </patternFill>
    </fill>
    <fill>
      <patternFill patternType="solid">
        <fgColor rgb="FF75C37C"/>
        <bgColor rgb="FF75C37C"/>
      </patternFill>
    </fill>
    <fill>
      <patternFill patternType="solid">
        <fgColor rgb="FF7EC57C"/>
        <bgColor rgb="FF7EC57C"/>
      </patternFill>
    </fill>
    <fill>
      <patternFill patternType="solid">
        <fgColor rgb="FF8BC97D"/>
        <bgColor rgb="FF8BC97D"/>
      </patternFill>
    </fill>
    <fill>
      <patternFill patternType="solid">
        <fgColor rgb="FF9BCE7E"/>
        <bgColor rgb="FF9BCE7E"/>
      </patternFill>
    </fill>
    <fill>
      <patternFill patternType="solid">
        <fgColor rgb="FFB1D47F"/>
        <bgColor rgb="FFB1D47F"/>
      </patternFill>
    </fill>
    <fill>
      <patternFill patternType="solid">
        <fgColor rgb="FFCDDC81"/>
        <bgColor rgb="FFCDDC81"/>
      </patternFill>
    </fill>
    <fill>
      <patternFill patternType="solid">
        <fgColor rgb="FFEAE582"/>
        <bgColor rgb="FFEAE582"/>
      </patternFill>
    </fill>
    <fill>
      <patternFill patternType="solid">
        <fgColor rgb="FFFFEA84"/>
        <bgColor rgb="FFFFEA84"/>
      </patternFill>
    </fill>
    <fill>
      <patternFill patternType="solid">
        <fgColor rgb="FFFFEB9C"/>
        <bgColor rgb="FFFFEB9C"/>
      </patternFill>
    </fill>
    <fill>
      <patternFill patternType="solid">
        <fgColor rgb="FF64BE7B"/>
        <bgColor rgb="FF64BE7B"/>
      </patternFill>
    </fill>
    <fill>
      <patternFill patternType="solid">
        <fgColor rgb="FF6AC07B"/>
        <bgColor rgb="FF6AC07B"/>
      </patternFill>
    </fill>
    <fill>
      <patternFill patternType="solid">
        <fgColor rgb="FF71C27B"/>
        <bgColor rgb="FF71C27B"/>
      </patternFill>
    </fill>
    <fill>
      <patternFill patternType="solid">
        <fgColor rgb="FF77C37C"/>
        <bgColor rgb="FF77C37C"/>
      </patternFill>
    </fill>
    <fill>
      <patternFill patternType="solid">
        <fgColor rgb="FF80C67C"/>
        <bgColor rgb="FF80C67C"/>
      </patternFill>
    </fill>
    <fill>
      <patternFill patternType="solid">
        <fgColor rgb="FF96CC7D"/>
        <bgColor rgb="FF96CC7D"/>
      </patternFill>
    </fill>
    <fill>
      <patternFill patternType="solid">
        <fgColor rgb="FFA6D17E"/>
        <bgColor rgb="FFA6D17E"/>
      </patternFill>
    </fill>
    <fill>
      <patternFill patternType="solid">
        <fgColor rgb="FFB7D67F"/>
        <bgColor rgb="FFB7D67F"/>
      </patternFill>
    </fill>
    <fill>
      <patternFill patternType="solid">
        <fgColor rgb="FFC9DB80"/>
        <bgColor rgb="FFC9DB80"/>
      </patternFill>
    </fill>
    <fill>
      <patternFill patternType="solid">
        <fgColor rgb="FFDAE081"/>
        <bgColor rgb="FFDAE081"/>
      </patternFill>
    </fill>
    <fill>
      <patternFill patternType="solid">
        <fgColor rgb="FFF0E683"/>
        <bgColor rgb="FFF0E683"/>
      </patternFill>
    </fill>
    <fill>
      <patternFill patternType="solid">
        <fgColor rgb="FFFFEB84"/>
        <bgColor rgb="FFFFEB84"/>
      </patternFill>
    </fill>
    <fill>
      <patternFill patternType="solid">
        <fgColor rgb="FFFFE984"/>
        <bgColor rgb="FFFFE984"/>
      </patternFill>
    </fill>
    <fill>
      <patternFill patternType="solid">
        <fgColor rgb="FFFFE884"/>
        <bgColor rgb="FFFFE884"/>
      </patternFill>
    </fill>
    <fill>
      <patternFill patternType="solid">
        <fgColor rgb="FFFFE784"/>
        <bgColor rgb="FFFFE784"/>
      </patternFill>
    </fill>
    <fill>
      <patternFill patternType="solid">
        <fgColor rgb="FFFFE583"/>
        <bgColor rgb="FFFFE583"/>
      </patternFill>
    </fill>
    <fill>
      <patternFill patternType="solid">
        <fgColor rgb="FFFFE283"/>
        <bgColor rgb="FFFFE283"/>
      </patternFill>
    </fill>
    <fill>
      <patternFill patternType="solid">
        <fgColor rgb="FF89C97D"/>
        <bgColor rgb="FF89C97D"/>
      </patternFill>
    </fill>
    <fill>
      <patternFill patternType="solid">
        <fgColor rgb="FF94CC7D"/>
        <bgColor rgb="FF94CC7D"/>
      </patternFill>
    </fill>
    <fill>
      <patternFill patternType="solid">
        <fgColor rgb="FFA3D07E"/>
        <bgColor rgb="FFA3D07E"/>
      </patternFill>
    </fill>
    <fill>
      <patternFill patternType="solid">
        <fgColor rgb="FFB3D57F"/>
        <bgColor rgb="FFB3D57F"/>
      </patternFill>
    </fill>
    <fill>
      <patternFill patternType="solid">
        <fgColor rgb="FFCFDD81"/>
        <bgColor rgb="FFCFDD81"/>
      </patternFill>
    </fill>
    <fill>
      <patternFill patternType="solid">
        <fgColor rgb="FFFED781"/>
        <bgColor rgb="FFFED781"/>
      </patternFill>
    </fill>
    <fill>
      <patternFill patternType="solid">
        <fgColor rgb="FFB9D67F"/>
        <bgColor rgb="FFB9D67F"/>
      </patternFill>
    </fill>
    <fill>
      <patternFill patternType="solid">
        <fgColor rgb="FFE8E482"/>
        <bgColor rgb="FFE8E482"/>
      </patternFill>
    </fill>
    <fill>
      <patternFill patternType="solid">
        <fgColor rgb="FFFFDD82"/>
        <bgColor rgb="FFFFDD82"/>
      </patternFill>
    </fill>
    <fill>
      <patternFill patternType="solid">
        <fgColor rgb="FFDDE182"/>
        <bgColor rgb="FFDDE182"/>
      </patternFill>
    </fill>
    <fill>
      <patternFill patternType="solid">
        <fgColor rgb="FFFBE983"/>
        <bgColor rgb="FFFBE983"/>
      </patternFill>
    </fill>
    <fill>
      <patternFill patternType="solid">
        <fgColor rgb="FFFED881"/>
        <bgColor rgb="FFFED881"/>
      </patternFill>
    </fill>
    <fill>
      <patternFill patternType="solid">
        <fgColor rgb="FFFED280"/>
        <bgColor rgb="FFFED280"/>
      </patternFill>
    </fill>
    <fill>
      <patternFill patternType="solid">
        <fgColor rgb="FFFFE383"/>
        <bgColor rgb="FFFFE383"/>
      </patternFill>
    </fill>
    <fill>
      <patternFill patternType="solid">
        <fgColor rgb="FFFFDF82"/>
        <bgColor rgb="FFFFDF82"/>
      </patternFill>
    </fill>
    <fill>
      <patternFill patternType="solid">
        <fgColor rgb="FFFFDC82"/>
        <bgColor rgb="FFFFDC82"/>
      </patternFill>
    </fill>
    <fill>
      <patternFill patternType="solid">
        <fgColor rgb="FFFED380"/>
        <bgColor rgb="FFFED380"/>
      </patternFill>
    </fill>
    <fill>
      <patternFill patternType="solid">
        <fgColor rgb="FFFECD7F"/>
        <bgColor rgb="FFFECD7F"/>
      </patternFill>
    </fill>
    <fill>
      <patternFill patternType="solid">
        <fgColor rgb="FFFEC97E"/>
        <bgColor rgb="FFFEC97E"/>
      </patternFill>
    </fill>
    <fill>
      <patternFill patternType="solid">
        <fgColor rgb="FFFDC37D"/>
        <bgColor rgb="FFFDC37D"/>
      </patternFill>
    </fill>
    <fill>
      <patternFill patternType="solid">
        <fgColor rgb="FFFDBC7B"/>
        <bgColor rgb="FFFDBC7B"/>
      </patternFill>
    </fill>
    <fill>
      <patternFill patternType="solid">
        <fgColor rgb="FFFDB47A"/>
        <bgColor rgb="FFFDB47A"/>
      </patternFill>
    </fill>
    <fill>
      <patternFill patternType="solid">
        <fgColor rgb="FFFCAA78"/>
        <bgColor rgb="FFFCAA78"/>
      </patternFill>
    </fill>
    <fill>
      <patternFill patternType="solid">
        <fgColor rgb="FFFCA877"/>
        <bgColor rgb="FFFCA877"/>
      </patternFill>
    </fill>
    <fill>
      <patternFill patternType="solid">
        <fgColor rgb="FFFB9B75"/>
        <bgColor rgb="FFFB9B75"/>
      </patternFill>
    </fill>
    <fill>
      <patternFill patternType="solid">
        <fgColor rgb="FFFB9774"/>
        <bgColor rgb="FFFB9774"/>
      </patternFill>
    </fill>
    <fill>
      <patternFill patternType="solid">
        <fgColor rgb="FFFA8A72"/>
        <bgColor rgb="FFFA8A72"/>
      </patternFill>
    </fill>
    <fill>
      <patternFill patternType="solid">
        <fgColor rgb="FFF9766E"/>
        <bgColor rgb="FFF9766E"/>
      </patternFill>
    </fill>
    <fill>
      <patternFill patternType="solid">
        <fgColor rgb="FFF8696B"/>
        <bgColor rgb="FFF8696B"/>
      </patternFill>
    </fill>
  </fills>
  <borders count="29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</border>
    <border>
      <right style="thin">
        <color theme="1"/>
      </righ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356854"/>
      </right>
      <top/>
      <bottom/>
    </border>
    <border>
      <left/>
      <right/>
      <top style="thin">
        <color theme="1"/>
      </top>
      <bottom/>
    </border>
    <border>
      <right style="thin">
        <color theme="1"/>
      </right>
      <top style="thin">
        <color theme="1"/>
      </top>
    </border>
    <border>
      <left style="thin">
        <color theme="1"/>
      </left>
    </border>
    <border>
      <left style="thin">
        <color theme="1"/>
      </left>
      <bottom style="thin">
        <color theme="1"/>
      </bottom>
    </border>
    <border>
      <left/>
      <right/>
      <top/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theme="1"/>
      </left>
      <right/>
      <top style="thin">
        <color theme="1"/>
      </top>
      <bottom/>
    </border>
    <border>
      <left style="thin">
        <color theme="1"/>
      </left>
      <right/>
      <top/>
      <bottom/>
    </border>
    <border>
      <left style="thin">
        <color theme="1"/>
      </left>
      <right/>
      <top/>
      <bottom style="thin">
        <color theme="1"/>
      </bottom>
    </border>
    <border>
      <bottom style="thin">
        <color theme="1"/>
      </bottom>
    </border>
    <border>
      <left/>
      <right style="thin">
        <color rgb="FF356854"/>
      </right>
      <top/>
      <bottom style="thin">
        <color theme="1"/>
      </bottom>
    </border>
    <border>
      <top style="thin">
        <color theme="1"/>
      </top>
    </border>
    <border>
      <left style="medium">
        <color theme="1"/>
      </left>
      <right/>
      <top style="medium">
        <color theme="1"/>
      </top>
      <bottom style="medium">
        <color theme="1"/>
      </bottom>
    </border>
    <border>
      <left/>
      <right/>
      <top style="medium">
        <color theme="1"/>
      </top>
      <bottom style="medium">
        <color theme="1"/>
      </bottom>
    </border>
    <border>
      <left/>
      <right style="medium">
        <color theme="1"/>
      </right>
      <top style="medium">
        <color theme="1"/>
      </top>
      <bottom style="medium">
        <color theme="1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vertical="bottom"/>
    </xf>
    <xf borderId="3" fillId="6" fontId="3" numFmtId="4" xfId="0" applyAlignment="1" applyBorder="1" applyFill="1" applyFont="1" applyNumberFormat="1">
      <alignment horizontal="center" vertical="bottom"/>
    </xf>
    <xf borderId="2" fillId="7" fontId="5" numFmtId="0" xfId="0" applyAlignment="1" applyBorder="1" applyFill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4" fillId="8" fontId="3" numFmtId="3" xfId="0" applyAlignment="1" applyBorder="1" applyFill="1" applyFont="1" applyNumberFormat="1">
      <alignment horizontal="center" vertical="bottom"/>
    </xf>
    <xf borderId="5" fillId="7" fontId="5" numFmtId="0" xfId="0" applyAlignment="1" applyBorder="1" applyFont="1">
      <alignment horizontal="center" vertical="bottom"/>
    </xf>
    <xf borderId="6" fillId="8" fontId="3" numFmtId="3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vertical="bottom"/>
    </xf>
    <xf borderId="6" fillId="9" fontId="3" numFmtId="3" xfId="0" applyAlignment="1" applyBorder="1" applyFill="1" applyFont="1" applyNumberFormat="1">
      <alignment horizontal="center" vertical="bottom"/>
    </xf>
    <xf borderId="6" fillId="10" fontId="3" numFmtId="3" xfId="0" applyAlignment="1" applyBorder="1" applyFill="1" applyFont="1" applyNumberFormat="1">
      <alignment horizontal="center" vertical="bottom"/>
    </xf>
    <xf borderId="6" fillId="11" fontId="3" numFmtId="3" xfId="0" applyAlignment="1" applyBorder="1" applyFill="1" applyFont="1" applyNumberFormat="1">
      <alignment horizontal="center" vertical="bottom"/>
    </xf>
    <xf borderId="6" fillId="12" fontId="3" numFmtId="3" xfId="0" applyAlignment="1" applyBorder="1" applyFill="1" applyFont="1" applyNumberFormat="1">
      <alignment horizontal="center" vertical="bottom"/>
    </xf>
    <xf borderId="6" fillId="13" fontId="3" numFmtId="3" xfId="0" applyAlignment="1" applyBorder="1" applyFill="1" applyFont="1" applyNumberFormat="1">
      <alignment horizontal="center" vertical="bottom"/>
    </xf>
    <xf borderId="6" fillId="14" fontId="3" numFmtId="3" xfId="0" applyAlignment="1" applyBorder="1" applyFill="1" applyFont="1" applyNumberFormat="1">
      <alignment horizontal="center" vertical="bottom"/>
    </xf>
    <xf borderId="6" fillId="15" fontId="3" numFmtId="3" xfId="0" applyAlignment="1" applyBorder="1" applyFill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2" fillId="6" fontId="3" numFmtId="3" xfId="0" applyAlignment="1" applyBorder="1" applyFont="1" applyNumberFormat="1">
      <alignment horizontal="center" vertical="bottom"/>
    </xf>
    <xf borderId="6" fillId="16" fontId="3" numFmtId="3" xfId="0" applyAlignment="1" applyBorder="1" applyFill="1" applyFont="1" applyNumberFormat="1">
      <alignment horizontal="center" vertical="bottom"/>
    </xf>
    <xf borderId="9" fillId="0" fontId="1" numFmtId="0" xfId="0" applyAlignment="1" applyBorder="1" applyFont="1">
      <alignment vertical="bottom"/>
    </xf>
    <xf borderId="10" fillId="5" fontId="3" numFmtId="0" xfId="0" applyAlignment="1" applyBorder="1" applyFont="1">
      <alignment horizontal="center" vertical="bottom"/>
    </xf>
    <xf borderId="11" fillId="17" fontId="3" numFmtId="3" xfId="0" applyAlignment="1" applyBorder="1" applyFill="1" applyFont="1" applyNumberFormat="1">
      <alignment horizontal="center" vertical="bottom"/>
    </xf>
    <xf borderId="12" fillId="5" fontId="3" numFmtId="0" xfId="0" applyAlignment="1" applyBorder="1" applyFont="1">
      <alignment horizontal="center" vertical="bottom"/>
    </xf>
    <xf borderId="4" fillId="18" fontId="3" numFmtId="3" xfId="0" applyAlignment="1" applyBorder="1" applyFill="1" applyFont="1" applyNumberFormat="1">
      <alignment horizontal="center" vertical="bottom"/>
    </xf>
    <xf borderId="1" fillId="5" fontId="1" numFmtId="0" xfId="0" applyAlignment="1" applyBorder="1" applyFont="1">
      <alignment vertical="bottom"/>
    </xf>
    <xf borderId="13" fillId="19" fontId="1" numFmtId="3" xfId="0" applyAlignment="1" applyBorder="1" applyFill="1" applyFont="1" applyNumberFormat="1">
      <alignment vertical="bottom"/>
    </xf>
    <xf borderId="2" fillId="2" fontId="3" numFmtId="0" xfId="0" applyAlignment="1" applyBorder="1" applyFont="1">
      <alignment horizontal="right" vertical="bottom"/>
    </xf>
    <xf borderId="2" fillId="2" fontId="3" numFmtId="0" xfId="0" applyAlignment="1" applyBorder="1" applyFont="1">
      <alignment vertical="bottom"/>
    </xf>
    <xf borderId="2" fillId="3" fontId="3" numFmtId="0" xfId="0" applyAlignment="1" applyBorder="1" applyFont="1">
      <alignment horizontal="right" vertical="bottom"/>
    </xf>
    <xf borderId="2" fillId="3" fontId="3" numFmtId="0" xfId="0" applyAlignment="1" applyBorder="1" applyFont="1">
      <alignment vertical="bottom"/>
    </xf>
    <xf borderId="2" fillId="2" fontId="6" numFmtId="0" xfId="0" applyAlignment="1" applyBorder="1" applyFont="1">
      <alignment horizontal="right" vertical="bottom"/>
    </xf>
    <xf borderId="2" fillId="2" fontId="7" numFmtId="0" xfId="0" applyAlignment="1" applyBorder="1" applyFont="1">
      <alignment vertical="bottom"/>
    </xf>
    <xf borderId="14" fillId="7" fontId="5" numFmtId="0" xfId="0" applyAlignment="1" applyBorder="1" applyFont="1">
      <alignment horizontal="center" vertical="bottom"/>
    </xf>
    <xf borderId="14" fillId="5" fontId="3" numFmtId="0" xfId="0" applyAlignment="1" applyBorder="1" applyFont="1">
      <alignment horizontal="center" vertical="bottom"/>
    </xf>
    <xf borderId="15" fillId="20" fontId="3" numFmtId="3" xfId="0" applyAlignment="1" applyBorder="1" applyFill="1" applyFont="1" applyNumberFormat="1">
      <alignment horizontal="center" vertical="bottom"/>
    </xf>
    <xf borderId="16" fillId="0" fontId="1" numFmtId="0" xfId="0" applyAlignment="1" applyBorder="1" applyFont="1">
      <alignment vertical="bottom"/>
    </xf>
    <xf borderId="8" fillId="21" fontId="3" numFmtId="3" xfId="0" applyAlignment="1" applyBorder="1" applyFill="1" applyFont="1" applyNumberFormat="1">
      <alignment horizontal="center" vertical="bottom"/>
    </xf>
    <xf borderId="8" fillId="22" fontId="3" numFmtId="3" xfId="0" applyAlignment="1" applyBorder="1" applyFill="1" applyFont="1" applyNumberFormat="1">
      <alignment horizontal="center" vertical="bottom"/>
    </xf>
    <xf borderId="8" fillId="23" fontId="3" numFmtId="3" xfId="0" applyAlignment="1" applyBorder="1" applyFill="1" applyFont="1" applyNumberFormat="1">
      <alignment horizontal="center" vertical="bottom"/>
    </xf>
    <xf borderId="8" fillId="24" fontId="3" numFmtId="3" xfId="0" applyAlignment="1" applyBorder="1" applyFill="1" applyFont="1" applyNumberFormat="1">
      <alignment horizontal="center" vertical="bottom"/>
    </xf>
    <xf borderId="8" fillId="13" fontId="3" numFmtId="3" xfId="0" applyAlignment="1" applyBorder="1" applyFont="1" applyNumberFormat="1">
      <alignment horizontal="center" vertical="bottom"/>
    </xf>
    <xf borderId="8" fillId="25" fontId="3" numFmtId="3" xfId="0" applyAlignment="1" applyBorder="1" applyFill="1" applyFont="1" applyNumberFormat="1">
      <alignment horizontal="center" vertical="bottom"/>
    </xf>
    <xf borderId="8" fillId="26" fontId="3" numFmtId="3" xfId="0" applyAlignment="1" applyBorder="1" applyFill="1" applyFont="1" applyNumberFormat="1">
      <alignment horizontal="center" vertical="bottom"/>
    </xf>
    <xf borderId="1" fillId="6" fontId="3" numFmtId="3" xfId="0" applyAlignment="1" applyBorder="1" applyFont="1" applyNumberFormat="1">
      <alignment horizontal="center" vertical="bottom"/>
    </xf>
    <xf borderId="8" fillId="27" fontId="3" numFmtId="3" xfId="0" applyAlignment="1" applyBorder="1" applyFill="1" applyFont="1" applyNumberFormat="1">
      <alignment horizontal="center" vertical="bottom"/>
    </xf>
    <xf borderId="8" fillId="28" fontId="3" numFmtId="3" xfId="0" applyAlignment="1" applyBorder="1" applyFill="1" applyFont="1" applyNumberFormat="1">
      <alignment horizontal="center" vertical="bottom"/>
    </xf>
    <xf borderId="8" fillId="29" fontId="3" numFmtId="0" xfId="0" applyAlignment="1" applyBorder="1" applyFill="1" applyFont="1">
      <alignment horizontal="center" vertical="bottom"/>
    </xf>
    <xf borderId="8" fillId="30" fontId="3" numFmtId="0" xfId="0" applyAlignment="1" applyBorder="1" applyFill="1" applyFont="1">
      <alignment horizontal="center" vertical="bottom"/>
    </xf>
    <xf borderId="8" fillId="31" fontId="3" numFmtId="0" xfId="0" applyAlignment="1" applyBorder="1" applyFill="1" applyFont="1">
      <alignment horizontal="center" vertical="bottom"/>
    </xf>
    <xf borderId="8" fillId="18" fontId="3" numFmtId="0" xfId="0" applyAlignment="1" applyBorder="1" applyFont="1">
      <alignment horizontal="center" vertical="bottom"/>
    </xf>
    <xf borderId="8" fillId="32" fontId="3" numFmtId="0" xfId="0" applyAlignment="1" applyBorder="1" applyFill="1" applyFont="1">
      <alignment horizontal="center" vertical="bottom"/>
    </xf>
    <xf borderId="8" fillId="33" fontId="3" numFmtId="0" xfId="0" applyAlignment="1" applyBorder="1" applyFill="1" applyFont="1">
      <alignment horizontal="center" vertical="bottom"/>
    </xf>
    <xf borderId="8" fillId="34" fontId="3" numFmtId="0" xfId="0" applyAlignment="1" applyBorder="1" applyFill="1" applyFont="1">
      <alignment horizontal="center" vertical="bottom"/>
    </xf>
    <xf borderId="8" fillId="35" fontId="3" numFmtId="0" xfId="0" applyAlignment="1" applyBorder="1" applyFill="1" applyFont="1">
      <alignment horizontal="center" vertical="bottom"/>
    </xf>
    <xf borderId="17" fillId="0" fontId="1" numFmtId="0" xfId="0" applyAlignment="1" applyBorder="1" applyFont="1">
      <alignment vertical="bottom"/>
    </xf>
    <xf borderId="18" fillId="5" fontId="3" numFmtId="0" xfId="0" applyAlignment="1" applyBorder="1" applyFont="1">
      <alignment horizontal="center" vertical="bottom"/>
    </xf>
    <xf borderId="19" fillId="36" fontId="3" numFmtId="0" xfId="0" applyAlignment="1" applyBorder="1" applyFill="1" applyFont="1">
      <alignment horizontal="center" vertical="bottom"/>
    </xf>
    <xf borderId="20" fillId="7" fontId="5" numFmtId="0" xfId="0" applyAlignment="1" applyBorder="1" applyFont="1">
      <alignment horizontal="center" vertical="bottom"/>
    </xf>
    <xf borderId="15" fillId="12" fontId="3" numFmtId="3" xfId="0" applyAlignment="1" applyBorder="1" applyFont="1" applyNumberFormat="1">
      <alignment horizontal="center" vertical="bottom"/>
    </xf>
    <xf borderId="8" fillId="37" fontId="3" numFmtId="3" xfId="0" applyAlignment="1" applyBorder="1" applyFill="1" applyFont="1" applyNumberFormat="1">
      <alignment horizontal="center" vertical="bottom"/>
    </xf>
    <xf borderId="8" fillId="38" fontId="3" numFmtId="3" xfId="0" applyAlignment="1" applyBorder="1" applyFill="1" applyFont="1" applyNumberFormat="1">
      <alignment horizontal="center" vertical="bottom"/>
    </xf>
    <xf borderId="8" fillId="39" fontId="3" numFmtId="3" xfId="0" applyAlignment="1" applyBorder="1" applyFill="1" applyFont="1" applyNumberFormat="1">
      <alignment horizontal="center" vertical="bottom"/>
    </xf>
    <xf borderId="8" fillId="40" fontId="3" numFmtId="3" xfId="0" applyAlignment="1" applyBorder="1" applyFill="1" applyFont="1" applyNumberFormat="1">
      <alignment horizontal="center" vertical="bottom"/>
    </xf>
    <xf borderId="8" fillId="41" fontId="3" numFmtId="3" xfId="0" applyAlignment="1" applyBorder="1" applyFill="1" applyFont="1" applyNumberFormat="1">
      <alignment horizontal="center" vertical="bottom"/>
    </xf>
    <xf borderId="8" fillId="30" fontId="3" numFmtId="3" xfId="0" applyAlignment="1" applyBorder="1" applyFont="1" applyNumberFormat="1">
      <alignment horizontal="center" vertical="bottom"/>
    </xf>
    <xf borderId="8" fillId="31" fontId="3" numFmtId="3" xfId="0" applyAlignment="1" applyBorder="1" applyFont="1" applyNumberFormat="1">
      <alignment horizontal="center" vertical="bottom"/>
    </xf>
    <xf borderId="21" fillId="6" fontId="3" numFmtId="3" xfId="0" applyAlignment="1" applyBorder="1" applyFont="1" applyNumberFormat="1">
      <alignment horizontal="center" vertical="bottom"/>
    </xf>
    <xf borderId="8" fillId="32" fontId="3" numFmtId="3" xfId="0" applyAlignment="1" applyBorder="1" applyFont="1" applyNumberFormat="1">
      <alignment horizontal="center" vertical="bottom"/>
    </xf>
    <xf borderId="19" fillId="34" fontId="3" numFmtId="3" xfId="0" applyAlignment="1" applyBorder="1" applyFont="1" applyNumberFormat="1">
      <alignment horizontal="center" vertical="bottom"/>
    </xf>
    <xf borderId="22" fillId="3" fontId="1" numFmtId="0" xfId="0" applyAlignment="1" applyBorder="1" applyFont="1">
      <alignment vertical="bottom"/>
    </xf>
    <xf borderId="20" fillId="7" fontId="8" numFmtId="0" xfId="0" applyAlignment="1" applyBorder="1" applyFont="1">
      <alignment horizontal="center" vertical="bottom"/>
    </xf>
    <xf borderId="23" fillId="0" fontId="1" numFmtId="0" xfId="0" applyAlignment="1" applyBorder="1" applyFont="1">
      <alignment vertical="bottom"/>
    </xf>
    <xf borderId="15" fillId="42" fontId="3" numFmtId="3" xfId="0" applyAlignment="1" applyBorder="1" applyFill="1" applyFont="1" applyNumberFormat="1">
      <alignment horizontal="center" vertical="bottom"/>
    </xf>
    <xf borderId="18" fillId="5" fontId="1" numFmtId="0" xfId="0" applyAlignment="1" applyBorder="1" applyFont="1">
      <alignment vertical="bottom"/>
    </xf>
    <xf borderId="24" fillId="19" fontId="1" numFmtId="3" xfId="0" applyAlignment="1" applyBorder="1" applyFont="1" applyNumberFormat="1">
      <alignment vertical="bottom"/>
    </xf>
    <xf borderId="15" fillId="26" fontId="3" numFmtId="3" xfId="0" applyAlignment="1" applyBorder="1" applyFont="1" applyNumberFormat="1">
      <alignment horizontal="center" vertical="bottom"/>
    </xf>
    <xf borderId="8" fillId="43" fontId="3" numFmtId="3" xfId="0" applyAlignment="1" applyBorder="1" applyFill="1" applyFont="1" applyNumberFormat="1">
      <alignment horizontal="center" vertical="bottom"/>
    </xf>
    <xf borderId="8" fillId="16" fontId="3" numFmtId="3" xfId="0" applyAlignment="1" applyBorder="1" applyFont="1" applyNumberFormat="1">
      <alignment horizontal="center" vertical="bottom"/>
    </xf>
    <xf borderId="8" fillId="44" fontId="3" numFmtId="3" xfId="0" applyAlignment="1" applyBorder="1" applyFill="1" applyFont="1" applyNumberFormat="1">
      <alignment horizontal="center" vertical="bottom"/>
    </xf>
    <xf borderId="8" fillId="18" fontId="3" numFmtId="3" xfId="0" applyAlignment="1" applyBorder="1" applyFont="1" applyNumberFormat="1">
      <alignment horizontal="center" vertical="bottom"/>
    </xf>
    <xf borderId="8" fillId="33" fontId="3" numFmtId="3" xfId="0" applyAlignment="1" applyBorder="1" applyFont="1" applyNumberFormat="1">
      <alignment horizontal="center" vertical="bottom"/>
    </xf>
    <xf borderId="8" fillId="35" fontId="3" numFmtId="3" xfId="0" applyAlignment="1" applyBorder="1" applyFont="1" applyNumberFormat="1">
      <alignment horizontal="center" vertical="bottom"/>
    </xf>
    <xf borderId="8" fillId="36" fontId="3" numFmtId="3" xfId="0" applyAlignment="1" applyBorder="1" applyFont="1" applyNumberFormat="1">
      <alignment horizontal="center" vertical="bottom"/>
    </xf>
    <xf borderId="19" fillId="45" fontId="3" numFmtId="3" xfId="0" applyAlignment="1" applyBorder="1" applyFill="1" applyFont="1" applyNumberFormat="1">
      <alignment horizontal="center" vertical="bottom"/>
    </xf>
    <xf borderId="20" fillId="7" fontId="9" numFmtId="0" xfId="0" applyAlignment="1" applyBorder="1" applyFont="1">
      <alignment horizontal="center" vertical="bottom"/>
    </xf>
    <xf borderId="15" fillId="46" fontId="3" numFmtId="3" xfId="0" applyAlignment="1" applyBorder="1" applyFill="1" applyFont="1" applyNumberFormat="1">
      <alignment horizontal="center" vertical="bottom"/>
    </xf>
    <xf borderId="8" fillId="47" fontId="3" numFmtId="3" xfId="0" applyAlignment="1" applyBorder="1" applyFill="1" applyFont="1" applyNumberFormat="1">
      <alignment horizontal="center" vertical="bottom"/>
    </xf>
    <xf borderId="8" fillId="45" fontId="3" numFmtId="3" xfId="0" applyAlignment="1" applyBorder="1" applyFont="1" applyNumberFormat="1">
      <alignment horizontal="center" vertical="bottom"/>
    </xf>
    <xf borderId="8" fillId="48" fontId="3" numFmtId="3" xfId="0" applyAlignment="1" applyBorder="1" applyFill="1" applyFont="1" applyNumberFormat="1">
      <alignment horizontal="center" vertical="bottom"/>
    </xf>
    <xf borderId="19" fillId="49" fontId="3" numFmtId="3" xfId="0" applyAlignment="1" applyBorder="1" applyFill="1" applyFont="1" applyNumberFormat="1">
      <alignment horizontal="center" vertical="bottom"/>
    </xf>
    <xf borderId="19" fillId="0" fontId="1" numFmtId="0" xfId="0" applyAlignment="1" applyBorder="1" applyFont="1">
      <alignment vertical="bottom"/>
    </xf>
    <xf borderId="15" fillId="18" fontId="3" numFmtId="3" xfId="0" applyAlignment="1" applyBorder="1" applyFont="1" applyNumberFormat="1">
      <alignment horizontal="center" vertical="bottom"/>
    </xf>
    <xf borderId="8" fillId="34" fontId="3" numFmtId="3" xfId="0" applyAlignment="1" applyBorder="1" applyFont="1" applyNumberFormat="1">
      <alignment horizontal="center" vertical="bottom"/>
    </xf>
    <xf borderId="8" fillId="50" fontId="3" numFmtId="3" xfId="0" applyAlignment="1" applyBorder="1" applyFill="1" applyFont="1" applyNumberFormat="1">
      <alignment horizontal="center" vertical="bottom"/>
    </xf>
    <xf borderId="8" fillId="51" fontId="3" numFmtId="3" xfId="0" applyAlignment="1" applyBorder="1" applyFill="1" applyFont="1" applyNumberFormat="1">
      <alignment horizontal="center" vertical="bottom"/>
    </xf>
    <xf borderId="8" fillId="52" fontId="3" numFmtId="3" xfId="0" applyAlignment="1" applyBorder="1" applyFill="1" applyFont="1" applyNumberFormat="1">
      <alignment horizontal="center" vertical="bottom"/>
    </xf>
    <xf borderId="8" fillId="53" fontId="3" numFmtId="3" xfId="0" applyAlignment="1" applyBorder="1" applyFill="1" applyFont="1" applyNumberFormat="1">
      <alignment horizontal="center" vertical="bottom"/>
    </xf>
    <xf borderId="8" fillId="54" fontId="3" numFmtId="3" xfId="0" applyAlignment="1" applyBorder="1" applyFill="1" applyFont="1" applyNumberFormat="1">
      <alignment horizontal="center" vertical="bottom"/>
    </xf>
    <xf borderId="8" fillId="55" fontId="3" numFmtId="3" xfId="0" applyAlignment="1" applyBorder="1" applyFill="1" applyFont="1" applyNumberFormat="1">
      <alignment horizontal="center" vertical="bottom"/>
    </xf>
    <xf borderId="8" fillId="56" fontId="3" numFmtId="3" xfId="0" applyAlignment="1" applyBorder="1" applyFill="1" applyFont="1" applyNumberFormat="1">
      <alignment horizontal="center" vertical="bottom"/>
    </xf>
    <xf borderId="8" fillId="57" fontId="3" numFmtId="3" xfId="0" applyAlignment="1" applyBorder="1" applyFill="1" applyFont="1" applyNumberFormat="1">
      <alignment horizontal="center" vertical="bottom"/>
    </xf>
    <xf borderId="8" fillId="58" fontId="3" numFmtId="3" xfId="0" applyAlignment="1" applyBorder="1" applyFill="1" applyFont="1" applyNumberFormat="1">
      <alignment horizontal="center" vertical="bottom"/>
    </xf>
    <xf borderId="8" fillId="59" fontId="3" numFmtId="3" xfId="0" applyAlignment="1" applyBorder="1" applyFill="1" applyFont="1" applyNumberFormat="1">
      <alignment horizontal="center" vertical="bottom"/>
    </xf>
    <xf borderId="8" fillId="60" fontId="3" numFmtId="3" xfId="0" applyAlignment="1" applyBorder="1" applyFill="1" applyFont="1" applyNumberFormat="1">
      <alignment horizontal="center" vertical="bottom"/>
    </xf>
    <xf borderId="8" fillId="61" fontId="3" numFmtId="3" xfId="0" applyAlignment="1" applyBorder="1" applyFill="1" applyFont="1" applyNumberFormat="1">
      <alignment horizontal="center" vertical="bottom"/>
    </xf>
    <xf borderId="8" fillId="62" fontId="3" numFmtId="3" xfId="0" applyAlignment="1" applyBorder="1" applyFill="1" applyFont="1" applyNumberFormat="1">
      <alignment horizontal="center" vertical="bottom"/>
    </xf>
    <xf borderId="8" fillId="63" fontId="3" numFmtId="3" xfId="0" applyAlignment="1" applyBorder="1" applyFill="1" applyFont="1" applyNumberFormat="1">
      <alignment horizontal="center" vertical="bottom"/>
    </xf>
    <xf borderId="19" fillId="64" fontId="3" numFmtId="3" xfId="0" applyAlignment="1" applyBorder="1" applyFill="1" applyFont="1" applyNumberFormat="1">
      <alignment horizontal="center" vertical="bottom"/>
    </xf>
    <xf borderId="15" fillId="65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25" fillId="0" fontId="1" numFmtId="0" xfId="0" applyAlignment="1" applyBorder="1" applyFont="1">
      <alignment vertical="bottom"/>
    </xf>
    <xf borderId="2" fillId="3" fontId="3" numFmtId="0" xfId="0" applyAlignment="1" applyBorder="1" applyFont="1">
      <alignment horizontal="center" vertical="bottom"/>
    </xf>
    <xf borderId="26" fillId="6" fontId="1" numFmtId="0" xfId="0" applyAlignment="1" applyBorder="1" applyFont="1">
      <alignment vertical="bottom"/>
    </xf>
    <xf borderId="27" fillId="6" fontId="10" numFmtId="0" xfId="0" applyAlignment="1" applyBorder="1" applyFont="1">
      <alignment horizontal="center" vertical="bottom"/>
    </xf>
    <xf borderId="27" fillId="6" fontId="1" numFmtId="0" xfId="0" applyAlignment="1" applyBorder="1" applyFont="1">
      <alignment vertical="bottom"/>
    </xf>
    <xf borderId="27" fillId="6" fontId="10" numFmtId="3" xfId="0" applyAlignment="1" applyBorder="1" applyFont="1" applyNumberFormat="1">
      <alignment horizontal="center" vertical="bottom"/>
    </xf>
    <xf borderId="28" fillId="6" fontId="1" numFmtId="0" xfId="0" applyAlignment="1" applyBorder="1" applyFont="1">
      <alignment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1</v>
      </c>
      <c r="B9" s="8" t="s">
        <v>2</v>
      </c>
      <c r="C9" s="9" t="s">
        <v>3</v>
      </c>
      <c r="D9" s="7" t="s">
        <v>1</v>
      </c>
      <c r="E9" s="8" t="s">
        <v>2</v>
      </c>
      <c r="F9" s="9" t="s">
        <v>3</v>
      </c>
      <c r="G9" s="7" t="s">
        <v>1</v>
      </c>
      <c r="H9" s="8" t="s">
        <v>2</v>
      </c>
      <c r="I9" s="9" t="s">
        <v>3</v>
      </c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4</v>
      </c>
      <c r="B10" s="11">
        <v>1.0</v>
      </c>
      <c r="C10" s="12">
        <v>150.0</v>
      </c>
      <c r="D10" s="2"/>
      <c r="E10" s="2"/>
      <c r="F10" s="2"/>
      <c r="G10" s="13" t="s">
        <v>5</v>
      </c>
      <c r="H10" s="11">
        <v>1.0</v>
      </c>
      <c r="I10" s="14">
        <v>150.0</v>
      </c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1">
        <v>2.0</v>
      </c>
      <c r="C11" s="16">
        <v>180.0</v>
      </c>
      <c r="D11" s="2"/>
      <c r="E11" s="2"/>
      <c r="F11" s="2"/>
      <c r="G11" s="15"/>
      <c r="H11" s="11">
        <v>2.0</v>
      </c>
      <c r="I11" s="16">
        <v>180.0</v>
      </c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1">
        <v>3.0</v>
      </c>
      <c r="C12" s="17">
        <v>210.0</v>
      </c>
      <c r="D12" s="2"/>
      <c r="E12" s="2"/>
      <c r="F12" s="2"/>
      <c r="G12" s="15"/>
      <c r="H12" s="11">
        <v>3.0</v>
      </c>
      <c r="I12" s="17">
        <v>210.0</v>
      </c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/>
      <c r="B13" s="11">
        <v>4.0</v>
      </c>
      <c r="C13" s="18">
        <v>250.0</v>
      </c>
      <c r="D13" s="2"/>
      <c r="E13" s="2"/>
      <c r="F13" s="2"/>
      <c r="G13" s="15"/>
      <c r="H13" s="11">
        <v>4.0</v>
      </c>
      <c r="I13" s="18">
        <v>250.0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1">
        <v>5.0</v>
      </c>
      <c r="C14" s="19">
        <v>300.0</v>
      </c>
      <c r="D14" s="2"/>
      <c r="E14" s="2"/>
      <c r="F14" s="2"/>
      <c r="G14" s="15"/>
      <c r="H14" s="11">
        <v>5.0</v>
      </c>
      <c r="I14" s="19">
        <v>300.0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1">
        <v>6.0</v>
      </c>
      <c r="C15" s="20">
        <v>370.0</v>
      </c>
      <c r="D15" s="2"/>
      <c r="E15" s="2"/>
      <c r="F15" s="2"/>
      <c r="G15" s="15"/>
      <c r="H15" s="11">
        <v>6.0</v>
      </c>
      <c r="I15" s="20">
        <v>370.0</v>
      </c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1">
        <v>7.0</v>
      </c>
      <c r="C16" s="21">
        <v>460.0</v>
      </c>
      <c r="D16" s="2"/>
      <c r="E16" s="2"/>
      <c r="F16" s="2"/>
      <c r="G16" s="15"/>
      <c r="H16" s="11">
        <v>7.0</v>
      </c>
      <c r="I16" s="21">
        <v>460.0</v>
      </c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">
        <v>8.0</v>
      </c>
      <c r="C17" s="22">
        <v>580.0</v>
      </c>
      <c r="D17" s="2"/>
      <c r="E17" s="2"/>
      <c r="F17" s="23"/>
      <c r="G17" s="2"/>
      <c r="H17" s="11">
        <v>8.0</v>
      </c>
      <c r="I17" s="22">
        <v>580.0</v>
      </c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>
        <f>SUM(C10:C19)</f>
        <v>4120</v>
      </c>
      <c r="B18" s="11">
        <v>9.0</v>
      </c>
      <c r="C18" s="25">
        <v>730.0</v>
      </c>
      <c r="D18" s="2"/>
      <c r="E18" s="2"/>
      <c r="F18" s="2"/>
      <c r="G18" s="24">
        <f>SUM(I10:I19)</f>
        <v>4120</v>
      </c>
      <c r="H18" s="11">
        <v>9.0</v>
      </c>
      <c r="I18" s="25">
        <v>730.0</v>
      </c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6"/>
      <c r="B19" s="27">
        <v>10.0</v>
      </c>
      <c r="C19" s="28">
        <v>890.0</v>
      </c>
      <c r="D19" s="2"/>
      <c r="E19" s="2"/>
      <c r="F19" s="2"/>
      <c r="G19" s="26"/>
      <c r="H19" s="27">
        <v>10.0</v>
      </c>
      <c r="I19" s="28">
        <v>890.0</v>
      </c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13" t="s">
        <v>6</v>
      </c>
      <c r="E20" s="29">
        <v>1.0</v>
      </c>
      <c r="F20" s="30">
        <v>1200.0</v>
      </c>
      <c r="G20" s="2"/>
      <c r="H20" s="2"/>
      <c r="I20" s="2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15"/>
      <c r="E21" s="31"/>
      <c r="F21" s="32"/>
      <c r="G21" s="2"/>
      <c r="H21" s="2"/>
      <c r="I21" s="2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3"/>
      <c r="D22" s="15"/>
      <c r="E22" s="31"/>
      <c r="F22" s="32"/>
      <c r="G22" s="34"/>
      <c r="H22" s="2"/>
      <c r="I22" s="2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5"/>
      <c r="D23" s="15"/>
      <c r="E23" s="31"/>
      <c r="F23" s="32"/>
      <c r="G23" s="36"/>
      <c r="H23" s="2"/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7"/>
      <c r="D24" s="15"/>
      <c r="E24" s="31"/>
      <c r="F24" s="32"/>
      <c r="G24" s="38"/>
      <c r="H24" s="2"/>
      <c r="I24" s="2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15"/>
      <c r="E25" s="31"/>
      <c r="F25" s="32"/>
      <c r="G25" s="2"/>
      <c r="H25" s="2"/>
      <c r="I25" s="2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15"/>
      <c r="E26" s="31"/>
      <c r="F26" s="32"/>
      <c r="G26" s="2"/>
      <c r="H26" s="2"/>
      <c r="I26" s="2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3"/>
      <c r="D27" s="2"/>
      <c r="E27" s="31"/>
      <c r="F27" s="32"/>
      <c r="G27" s="2"/>
      <c r="H27" s="2"/>
      <c r="I27" s="2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4">
        <f>SUM(F20:F29)</f>
        <v>1200</v>
      </c>
      <c r="E28" s="31"/>
      <c r="F28" s="32"/>
      <c r="G28" s="2"/>
      <c r="H28" s="2"/>
      <c r="I28" s="2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3"/>
      <c r="D29" s="2"/>
      <c r="E29" s="31"/>
      <c r="F29" s="32"/>
      <c r="G29" s="2"/>
      <c r="H29" s="2"/>
      <c r="I29" s="2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3"/>
      <c r="D30" s="39" t="s">
        <v>7</v>
      </c>
      <c r="E30" s="40">
        <v>1.0</v>
      </c>
      <c r="F30" s="41">
        <v>160.0</v>
      </c>
      <c r="G30" s="34"/>
      <c r="H30" s="2"/>
      <c r="I30" s="2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5"/>
      <c r="D31" s="42"/>
      <c r="E31" s="11">
        <v>2.0</v>
      </c>
      <c r="F31" s="43">
        <v>190.0</v>
      </c>
      <c r="G31" s="36"/>
      <c r="H31" s="2"/>
      <c r="I31" s="2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7"/>
      <c r="D32" s="42"/>
      <c r="E32" s="11">
        <v>3.0</v>
      </c>
      <c r="F32" s="44">
        <v>230.0</v>
      </c>
      <c r="G32" s="38"/>
      <c r="H32" s="2"/>
      <c r="I32" s="2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2"/>
      <c r="E33" s="11">
        <v>4.0</v>
      </c>
      <c r="F33" s="45">
        <v>260.0</v>
      </c>
      <c r="G33" s="2"/>
      <c r="H33" s="2"/>
      <c r="I33" s="2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42"/>
      <c r="E34" s="11">
        <v>5.0</v>
      </c>
      <c r="F34" s="46">
        <v>310.0</v>
      </c>
      <c r="G34" s="2"/>
      <c r="H34" s="2"/>
      <c r="I34" s="2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42"/>
      <c r="E35" s="11">
        <v>6.0</v>
      </c>
      <c r="F35" s="47">
        <v>370.0</v>
      </c>
      <c r="G35" s="2"/>
      <c r="H35" s="2"/>
      <c r="I35" s="2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42"/>
      <c r="E36" s="11">
        <v>7.0</v>
      </c>
      <c r="F36" s="48">
        <v>430.0</v>
      </c>
      <c r="G36" s="2"/>
      <c r="H36" s="2"/>
      <c r="I36" s="2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42"/>
      <c r="E37" s="11">
        <v>8.0</v>
      </c>
      <c r="F37" s="49">
        <v>520.0</v>
      </c>
      <c r="G37" s="2"/>
      <c r="H37" s="2"/>
      <c r="I37" s="2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3"/>
      <c r="D38" s="50">
        <f>SUM(F30:F49)</f>
        <v>18210</v>
      </c>
      <c r="E38" s="11">
        <v>9.0</v>
      </c>
      <c r="F38" s="51">
        <v>610.0</v>
      </c>
      <c r="G38" s="2"/>
      <c r="H38" s="2"/>
      <c r="I38" s="2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3"/>
      <c r="D39" s="2"/>
      <c r="E39" s="11">
        <v>10.0</v>
      </c>
      <c r="F39" s="52">
        <v>710.0</v>
      </c>
      <c r="G39" s="2"/>
      <c r="H39" s="2"/>
      <c r="I39" s="2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42"/>
      <c r="E40" s="11">
        <v>11.0</v>
      </c>
      <c r="F40" s="53">
        <v>800.0</v>
      </c>
      <c r="G40" s="2"/>
      <c r="H40" s="2"/>
      <c r="I40" s="2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3"/>
      <c r="D41" s="42"/>
      <c r="E41" s="11">
        <v>12.0</v>
      </c>
      <c r="F41" s="54">
        <v>920.0</v>
      </c>
      <c r="G41" s="34"/>
      <c r="H41" s="2"/>
      <c r="I41" s="2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5"/>
      <c r="D42" s="42"/>
      <c r="E42" s="11">
        <v>13.0</v>
      </c>
      <c r="F42" s="55">
        <v>1000.0</v>
      </c>
      <c r="G42" s="36"/>
      <c r="H42" s="2"/>
      <c r="I42" s="2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7"/>
      <c r="D43" s="42"/>
      <c r="E43" s="11">
        <v>14.0</v>
      </c>
      <c r="F43" s="56">
        <v>1200.0</v>
      </c>
      <c r="G43" s="38"/>
      <c r="H43" s="2"/>
      <c r="I43" s="2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42"/>
      <c r="E44" s="11">
        <v>15.0</v>
      </c>
      <c r="F44" s="57">
        <v>1400.0</v>
      </c>
      <c r="G44" s="2"/>
      <c r="H44" s="2"/>
      <c r="I44" s="2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42"/>
      <c r="E45" s="11">
        <v>16.0</v>
      </c>
      <c r="F45" s="57">
        <v>1400.0</v>
      </c>
      <c r="G45" s="2"/>
      <c r="H45" s="2"/>
      <c r="I45" s="2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42"/>
      <c r="E46" s="11">
        <v>17.0</v>
      </c>
      <c r="F46" s="58">
        <v>1600.0</v>
      </c>
      <c r="G46" s="2"/>
      <c r="H46" s="2"/>
      <c r="I46" s="2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42"/>
      <c r="E47" s="11">
        <v>18.0</v>
      </c>
      <c r="F47" s="59">
        <v>1700.0</v>
      </c>
      <c r="G47" s="2"/>
      <c r="H47" s="2"/>
      <c r="I47" s="2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42"/>
      <c r="E48" s="11">
        <v>19.0</v>
      </c>
      <c r="F48" s="60">
        <v>2000.0</v>
      </c>
      <c r="G48" s="2"/>
      <c r="H48" s="2"/>
      <c r="I48" s="2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61"/>
      <c r="E49" s="62">
        <v>20.0</v>
      </c>
      <c r="F49" s="63">
        <v>2400.0</v>
      </c>
      <c r="G49" s="2"/>
      <c r="H49" s="2"/>
      <c r="I49" s="2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4" t="s">
        <v>8</v>
      </c>
      <c r="B50" s="40">
        <v>1.0</v>
      </c>
      <c r="C50" s="65">
        <v>300.0</v>
      </c>
      <c r="D50" s="2"/>
      <c r="E50" s="2"/>
      <c r="F50" s="2"/>
      <c r="G50" s="64" t="s">
        <v>9</v>
      </c>
      <c r="H50" s="40">
        <v>1.0</v>
      </c>
      <c r="I50" s="65">
        <v>300.0</v>
      </c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2"/>
      <c r="B51" s="11">
        <v>2.0</v>
      </c>
      <c r="C51" s="66">
        <v>360.0</v>
      </c>
      <c r="D51" s="2"/>
      <c r="E51" s="2"/>
      <c r="F51" s="2"/>
      <c r="G51" s="42"/>
      <c r="H51" s="11">
        <v>2.0</v>
      </c>
      <c r="I51" s="66">
        <v>360.0</v>
      </c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2"/>
      <c r="B52" s="11">
        <v>3.0</v>
      </c>
      <c r="C52" s="67">
        <v>420.0</v>
      </c>
      <c r="D52" s="2"/>
      <c r="E52" s="2"/>
      <c r="F52" s="33"/>
      <c r="G52" s="42"/>
      <c r="H52" s="11">
        <v>3.0</v>
      </c>
      <c r="I52" s="67">
        <v>420.0</v>
      </c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2"/>
      <c r="B53" s="11">
        <v>4.0</v>
      </c>
      <c r="C53" s="68">
        <v>500.0</v>
      </c>
      <c r="D53" s="2"/>
      <c r="E53" s="2"/>
      <c r="F53" s="35"/>
      <c r="G53" s="42"/>
      <c r="H53" s="11">
        <v>4.0</v>
      </c>
      <c r="I53" s="68">
        <v>500.0</v>
      </c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2"/>
      <c r="B54" s="11">
        <v>5.0</v>
      </c>
      <c r="C54" s="69">
        <v>590.0</v>
      </c>
      <c r="D54" s="2"/>
      <c r="E54" s="2"/>
      <c r="F54" s="37"/>
      <c r="G54" s="42"/>
      <c r="H54" s="11">
        <v>5.0</v>
      </c>
      <c r="I54" s="69">
        <v>590.0</v>
      </c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2"/>
      <c r="B55" s="11">
        <v>6.0</v>
      </c>
      <c r="C55" s="70">
        <v>740.0</v>
      </c>
      <c r="D55" s="2"/>
      <c r="E55" s="2"/>
      <c r="F55" s="2"/>
      <c r="G55" s="42"/>
      <c r="H55" s="11">
        <v>6.0</v>
      </c>
      <c r="I55" s="70">
        <v>740.0</v>
      </c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2"/>
      <c r="B56" s="11">
        <v>7.0</v>
      </c>
      <c r="C56" s="71">
        <v>920.0</v>
      </c>
      <c r="D56" s="2"/>
      <c r="E56" s="2"/>
      <c r="F56" s="2"/>
      <c r="G56" s="42"/>
      <c r="H56" s="11">
        <v>7.0</v>
      </c>
      <c r="I56" s="71">
        <v>920.0</v>
      </c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1">
        <v>8.0</v>
      </c>
      <c r="C57" s="72">
        <v>1100.0</v>
      </c>
      <c r="D57" s="2"/>
      <c r="E57" s="2"/>
      <c r="F57" s="23"/>
      <c r="G57" s="2"/>
      <c r="H57" s="11">
        <v>8.0</v>
      </c>
      <c r="I57" s="72">
        <v>1100.0</v>
      </c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3">
        <f>SUM(C50:C59)</f>
        <v>8030</v>
      </c>
      <c r="B58" s="11">
        <v>9.0</v>
      </c>
      <c r="C58" s="74">
        <v>1400.0</v>
      </c>
      <c r="D58" s="2"/>
      <c r="E58" s="2"/>
      <c r="F58" s="23"/>
      <c r="G58" s="50">
        <f>SUM(I50:I59)</f>
        <v>8030</v>
      </c>
      <c r="H58" s="11">
        <v>9.0</v>
      </c>
      <c r="I58" s="74">
        <v>1400.0</v>
      </c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1"/>
      <c r="B59" s="62">
        <v>10.0</v>
      </c>
      <c r="C59" s="75">
        <v>1700.0</v>
      </c>
      <c r="D59" s="2"/>
      <c r="E59" s="2"/>
      <c r="F59" s="2"/>
      <c r="G59" s="76"/>
      <c r="H59" s="62">
        <v>10.0</v>
      </c>
      <c r="I59" s="75">
        <v>1700.0</v>
      </c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7" t="s">
        <v>10</v>
      </c>
      <c r="B60" s="40">
        <v>1.0</v>
      </c>
      <c r="C60" s="65">
        <v>300.0</v>
      </c>
      <c r="D60" s="2"/>
      <c r="E60" s="2"/>
      <c r="F60" s="2"/>
      <c r="G60" s="64" t="s">
        <v>11</v>
      </c>
      <c r="H60" s="40">
        <v>1.0</v>
      </c>
      <c r="I60" s="65">
        <v>300.0</v>
      </c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2"/>
      <c r="B61" s="11">
        <v>2.0</v>
      </c>
      <c r="C61" s="66">
        <v>360.0</v>
      </c>
      <c r="D61" s="34"/>
      <c r="E61" s="2"/>
      <c r="F61" s="2"/>
      <c r="G61" s="42"/>
      <c r="H61" s="11">
        <v>2.0</v>
      </c>
      <c r="I61" s="66">
        <v>360.0</v>
      </c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2"/>
      <c r="B62" s="11">
        <v>3.0</v>
      </c>
      <c r="C62" s="67">
        <v>420.0</v>
      </c>
      <c r="D62" s="36"/>
      <c r="E62" s="2"/>
      <c r="F62" s="2"/>
      <c r="G62" s="42"/>
      <c r="H62" s="11">
        <v>3.0</v>
      </c>
      <c r="I62" s="67">
        <v>420.0</v>
      </c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2"/>
      <c r="B63" s="11">
        <v>4.0</v>
      </c>
      <c r="C63" s="68">
        <v>500.0</v>
      </c>
      <c r="D63" s="38"/>
      <c r="E63" s="2"/>
      <c r="F63" s="2"/>
      <c r="G63" s="42"/>
      <c r="H63" s="11">
        <v>4.0</v>
      </c>
      <c r="I63" s="68">
        <v>500.0</v>
      </c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2"/>
      <c r="B64" s="11">
        <v>5.0</v>
      </c>
      <c r="C64" s="69">
        <v>590.0</v>
      </c>
      <c r="D64" s="2"/>
      <c r="E64" s="2"/>
      <c r="F64" s="2"/>
      <c r="G64" s="42"/>
      <c r="H64" s="11">
        <v>5.0</v>
      </c>
      <c r="I64" s="69">
        <v>590.0</v>
      </c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2"/>
      <c r="B65" s="11">
        <v>6.0</v>
      </c>
      <c r="C65" s="70">
        <v>740.0</v>
      </c>
      <c r="D65" s="2"/>
      <c r="E65" s="2"/>
      <c r="F65" s="2"/>
      <c r="G65" s="42"/>
      <c r="H65" s="11">
        <v>6.0</v>
      </c>
      <c r="I65" s="70">
        <v>740.0</v>
      </c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2"/>
      <c r="B66" s="11">
        <v>7.0</v>
      </c>
      <c r="C66" s="71">
        <v>920.0</v>
      </c>
      <c r="D66" s="2"/>
      <c r="E66" s="2"/>
      <c r="F66" s="2"/>
      <c r="G66" s="42"/>
      <c r="H66" s="11">
        <v>7.0</v>
      </c>
      <c r="I66" s="71">
        <v>920.0</v>
      </c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">
        <v>8.0</v>
      </c>
      <c r="C67" s="72">
        <v>1100.0</v>
      </c>
      <c r="D67" s="2"/>
      <c r="E67" s="2"/>
      <c r="F67" s="23"/>
      <c r="G67" s="2"/>
      <c r="H67" s="11">
        <v>8.0</v>
      </c>
      <c r="I67" s="72">
        <v>1100.0</v>
      </c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3">
        <f>SUM(C60:C69)</f>
        <v>8030</v>
      </c>
      <c r="B68" s="11">
        <v>9.0</v>
      </c>
      <c r="C68" s="74">
        <v>1400.0</v>
      </c>
      <c r="D68" s="2"/>
      <c r="E68" s="2"/>
      <c r="F68" s="23"/>
      <c r="G68" s="50">
        <f>SUM(I60:I69)</f>
        <v>8030</v>
      </c>
      <c r="H68" s="11">
        <v>9.0</v>
      </c>
      <c r="I68" s="74">
        <v>1400.0</v>
      </c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6"/>
      <c r="B69" s="62">
        <v>10.0</v>
      </c>
      <c r="C69" s="75">
        <v>1700.0</v>
      </c>
      <c r="D69" s="78"/>
      <c r="E69" s="2"/>
      <c r="F69" s="2"/>
      <c r="G69" s="61"/>
      <c r="H69" s="62">
        <v>10.0</v>
      </c>
      <c r="I69" s="75">
        <v>1700.0</v>
      </c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64" t="s">
        <v>12</v>
      </c>
      <c r="E70" s="40">
        <v>1.0</v>
      </c>
      <c r="F70" s="79">
        <v>4100.0</v>
      </c>
      <c r="G70" s="2"/>
      <c r="H70" s="2"/>
      <c r="I70" s="2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2"/>
      <c r="E71" s="31"/>
      <c r="F71" s="32"/>
      <c r="G71" s="34"/>
      <c r="H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2"/>
      <c r="E72" s="31"/>
      <c r="F72" s="32"/>
      <c r="G72" s="36"/>
      <c r="H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2"/>
      <c r="E73" s="31"/>
      <c r="F73" s="32"/>
      <c r="G73" s="38"/>
      <c r="H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3"/>
      <c r="D74" s="42"/>
      <c r="E74" s="31"/>
      <c r="F74" s="32"/>
      <c r="G74" s="2"/>
      <c r="H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5"/>
      <c r="D75" s="42"/>
      <c r="E75" s="31"/>
      <c r="F75" s="32"/>
      <c r="G75" s="2"/>
      <c r="H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7"/>
      <c r="D76" s="42"/>
      <c r="E76" s="31"/>
      <c r="F76" s="32"/>
      <c r="G76" s="2"/>
      <c r="H76" s="2"/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3"/>
      <c r="D77" s="2"/>
      <c r="E77" s="31"/>
      <c r="F77" s="32"/>
      <c r="G77" s="2"/>
      <c r="H77" s="2"/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3"/>
      <c r="D78" s="50">
        <f>SUM(F70:F79)</f>
        <v>4100</v>
      </c>
      <c r="E78" s="31"/>
      <c r="F78" s="32"/>
      <c r="G78" s="2"/>
      <c r="H78" s="2"/>
      <c r="I78" s="2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61"/>
      <c r="E79" s="80"/>
      <c r="F79" s="81"/>
      <c r="G79" s="2"/>
      <c r="H79" s="2"/>
      <c r="I79" s="2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4" t="s">
        <v>13</v>
      </c>
      <c r="B80" s="40">
        <v>1.0</v>
      </c>
      <c r="C80" s="82">
        <v>520.0</v>
      </c>
      <c r="D80" s="2"/>
      <c r="E80" s="2"/>
      <c r="F80" s="2"/>
      <c r="G80" s="77" t="s">
        <v>14</v>
      </c>
      <c r="H80" s="40">
        <v>1.0</v>
      </c>
      <c r="I80" s="82">
        <v>520.0</v>
      </c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2"/>
      <c r="B81" s="11">
        <v>2.0</v>
      </c>
      <c r="C81" s="83">
        <v>620.0</v>
      </c>
      <c r="D81" s="2"/>
      <c r="E81" s="2"/>
      <c r="F81" s="2"/>
      <c r="G81" s="42"/>
      <c r="H81" s="11">
        <v>2.0</v>
      </c>
      <c r="I81" s="83">
        <v>620.0</v>
      </c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2"/>
      <c r="B82" s="11">
        <v>3.0</v>
      </c>
      <c r="C82" s="84">
        <v>730.0</v>
      </c>
      <c r="D82" s="2"/>
      <c r="E82" s="2"/>
      <c r="F82" s="2"/>
      <c r="G82" s="42"/>
      <c r="H82" s="11">
        <v>3.0</v>
      </c>
      <c r="I82" s="84">
        <v>730.0</v>
      </c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2"/>
      <c r="B83" s="11">
        <v>4.0</v>
      </c>
      <c r="C83" s="85">
        <v>880.0</v>
      </c>
      <c r="D83" s="2"/>
      <c r="E83" s="2"/>
      <c r="F83" s="33"/>
      <c r="G83" s="42"/>
      <c r="H83" s="11">
        <v>4.0</v>
      </c>
      <c r="I83" s="85">
        <v>880.0</v>
      </c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2"/>
      <c r="B84" s="11">
        <v>5.0</v>
      </c>
      <c r="C84" s="72">
        <v>1000.0</v>
      </c>
      <c r="D84" s="2"/>
      <c r="E84" s="2"/>
      <c r="F84" s="35"/>
      <c r="G84" s="42"/>
      <c r="H84" s="11">
        <v>5.0</v>
      </c>
      <c r="I84" s="72">
        <v>1000.0</v>
      </c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2"/>
      <c r="B85" s="11">
        <v>6.0</v>
      </c>
      <c r="C85" s="86">
        <v>1300.0</v>
      </c>
      <c r="D85" s="2"/>
      <c r="E85" s="2"/>
      <c r="F85" s="37"/>
      <c r="G85" s="42"/>
      <c r="H85" s="11">
        <v>6.0</v>
      </c>
      <c r="I85" s="86">
        <v>1300.0</v>
      </c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2"/>
      <c r="B86" s="11">
        <v>7.0</v>
      </c>
      <c r="C86" s="87">
        <v>1600.0</v>
      </c>
      <c r="D86" s="2"/>
      <c r="E86" s="2"/>
      <c r="F86" s="2"/>
      <c r="G86" s="42"/>
      <c r="H86" s="11">
        <v>7.0</v>
      </c>
      <c r="I86" s="87">
        <v>1600.0</v>
      </c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">
        <v>8.0</v>
      </c>
      <c r="C87" s="88">
        <v>2000.0</v>
      </c>
      <c r="D87" s="2"/>
      <c r="E87" s="2"/>
      <c r="F87" s="23"/>
      <c r="G87" s="2"/>
      <c r="H87" s="11">
        <v>8.0</v>
      </c>
      <c r="I87" s="88">
        <v>2000.0</v>
      </c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3">
        <f>SUM(C80:C89)</f>
        <v>14250</v>
      </c>
      <c r="B88" s="11">
        <v>9.0</v>
      </c>
      <c r="C88" s="89">
        <v>2500.0</v>
      </c>
      <c r="D88" s="2"/>
      <c r="E88" s="2"/>
      <c r="F88" s="23"/>
      <c r="G88" s="50">
        <f>SUM(I80:I89)</f>
        <v>14250</v>
      </c>
      <c r="H88" s="11">
        <v>9.0</v>
      </c>
      <c r="I88" s="89">
        <v>2500.0</v>
      </c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1"/>
      <c r="B89" s="62">
        <v>10.0</v>
      </c>
      <c r="C89" s="90">
        <v>3100.0</v>
      </c>
      <c r="D89" s="2"/>
      <c r="E89" s="2"/>
      <c r="F89" s="2"/>
      <c r="G89" s="61"/>
      <c r="H89" s="62">
        <v>10.0</v>
      </c>
      <c r="I89" s="90">
        <v>3100.0</v>
      </c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1" t="s">
        <v>15</v>
      </c>
      <c r="B90" s="40">
        <v>1.0</v>
      </c>
      <c r="C90" s="82">
        <v>520.0</v>
      </c>
      <c r="D90" s="2"/>
      <c r="E90" s="2"/>
      <c r="F90" s="2"/>
      <c r="G90" s="64" t="s">
        <v>16</v>
      </c>
      <c r="H90" s="40">
        <v>1.0</v>
      </c>
      <c r="I90" s="82">
        <v>520.0</v>
      </c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2"/>
      <c r="B91" s="11">
        <v>2.0</v>
      </c>
      <c r="C91" s="83">
        <v>620.0</v>
      </c>
      <c r="D91" s="2"/>
      <c r="E91" s="2"/>
      <c r="F91" s="2"/>
      <c r="G91" s="42"/>
      <c r="H91" s="11">
        <v>2.0</v>
      </c>
      <c r="I91" s="83">
        <v>620.0</v>
      </c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2"/>
      <c r="B92" s="11">
        <v>3.0</v>
      </c>
      <c r="C92" s="84">
        <v>730.0</v>
      </c>
      <c r="D92" s="34"/>
      <c r="E92" s="2"/>
      <c r="F92" s="2"/>
      <c r="G92" s="42"/>
      <c r="H92" s="11">
        <v>3.0</v>
      </c>
      <c r="I92" s="84">
        <v>730.0</v>
      </c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2"/>
      <c r="B93" s="11">
        <v>4.0</v>
      </c>
      <c r="C93" s="85">
        <v>880.0</v>
      </c>
      <c r="D93" s="36"/>
      <c r="E93" s="2"/>
      <c r="F93" s="2"/>
      <c r="G93" s="42"/>
      <c r="H93" s="11">
        <v>4.0</v>
      </c>
      <c r="I93" s="85">
        <v>880.0</v>
      </c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2"/>
      <c r="B94" s="11">
        <v>5.0</v>
      </c>
      <c r="C94" s="72">
        <v>1000.0</v>
      </c>
      <c r="D94" s="38"/>
      <c r="E94" s="2"/>
      <c r="F94" s="2"/>
      <c r="G94" s="42"/>
      <c r="H94" s="11">
        <v>5.0</v>
      </c>
      <c r="I94" s="72">
        <v>1000.0</v>
      </c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2"/>
      <c r="B95" s="11">
        <v>6.0</v>
      </c>
      <c r="C95" s="86">
        <v>1300.0</v>
      </c>
      <c r="D95" s="2"/>
      <c r="E95" s="2"/>
      <c r="F95" s="2"/>
      <c r="G95" s="42"/>
      <c r="H95" s="11">
        <v>6.0</v>
      </c>
      <c r="I95" s="86">
        <v>1300.0</v>
      </c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2"/>
      <c r="B96" s="11">
        <v>7.0</v>
      </c>
      <c r="C96" s="87">
        <v>1600.0</v>
      </c>
      <c r="D96" s="2"/>
      <c r="E96" s="2"/>
      <c r="F96" s="23"/>
      <c r="G96" s="2"/>
      <c r="H96" s="11">
        <v>7.0</v>
      </c>
      <c r="I96" s="87">
        <v>1600.0</v>
      </c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1">
        <v>8.0</v>
      </c>
      <c r="C97" s="88">
        <v>2000.0</v>
      </c>
      <c r="D97" s="2"/>
      <c r="E97" s="2"/>
      <c r="F97" s="23"/>
      <c r="G97" s="2"/>
      <c r="H97" s="11">
        <v>8.0</v>
      </c>
      <c r="I97" s="88">
        <v>2000.0</v>
      </c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3">
        <f>SUM(C90:C99)</f>
        <v>14250</v>
      </c>
      <c r="B98" s="11">
        <v>9.0</v>
      </c>
      <c r="C98" s="89">
        <v>2500.0</v>
      </c>
      <c r="D98" s="2"/>
      <c r="E98" s="2"/>
      <c r="F98" s="23"/>
      <c r="G98" s="50">
        <f>SUM(I90:I99)</f>
        <v>14250</v>
      </c>
      <c r="H98" s="11">
        <v>9.0</v>
      </c>
      <c r="I98" s="89">
        <v>2500.0</v>
      </c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1"/>
      <c r="B99" s="62">
        <v>10.0</v>
      </c>
      <c r="C99" s="90">
        <v>3100.0</v>
      </c>
      <c r="D99" s="2"/>
      <c r="E99" s="2"/>
      <c r="F99" s="2"/>
      <c r="G99" s="61"/>
      <c r="H99" s="62">
        <v>10.0</v>
      </c>
      <c r="I99" s="90">
        <v>3100.0</v>
      </c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4" t="s">
        <v>17</v>
      </c>
      <c r="B100" s="40">
        <v>1.0</v>
      </c>
      <c r="C100" s="82">
        <v>520.0</v>
      </c>
      <c r="D100" s="2"/>
      <c r="E100" s="2"/>
      <c r="F100" s="2"/>
      <c r="G100" s="64" t="s">
        <v>18</v>
      </c>
      <c r="H100" s="40">
        <v>1.0</v>
      </c>
      <c r="I100" s="82">
        <v>520.0</v>
      </c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2"/>
      <c r="B101" s="11">
        <v>2.0</v>
      </c>
      <c r="C101" s="83">
        <v>620.0</v>
      </c>
      <c r="D101" s="2"/>
      <c r="E101" s="2"/>
      <c r="F101" s="2"/>
      <c r="G101" s="42"/>
      <c r="H101" s="11">
        <v>2.0</v>
      </c>
      <c r="I101" s="83">
        <v>620.0</v>
      </c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2"/>
      <c r="B102" s="11">
        <v>3.0</v>
      </c>
      <c r="C102" s="84">
        <v>730.0</v>
      </c>
      <c r="D102" s="2"/>
      <c r="E102" s="2"/>
      <c r="F102" s="2"/>
      <c r="G102" s="42"/>
      <c r="H102" s="11">
        <v>3.0</v>
      </c>
      <c r="I102" s="84">
        <v>730.0</v>
      </c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2"/>
      <c r="B103" s="11">
        <v>4.0</v>
      </c>
      <c r="C103" s="85">
        <v>880.0</v>
      </c>
      <c r="D103" s="2"/>
      <c r="E103" s="2"/>
      <c r="F103" s="33"/>
      <c r="G103" s="42"/>
      <c r="H103" s="11">
        <v>4.0</v>
      </c>
      <c r="I103" s="85">
        <v>880.0</v>
      </c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2"/>
      <c r="B104" s="11">
        <v>5.0</v>
      </c>
      <c r="C104" s="72">
        <v>1000.0</v>
      </c>
      <c r="D104" s="2"/>
      <c r="E104" s="2"/>
      <c r="F104" s="35"/>
      <c r="G104" s="42"/>
      <c r="H104" s="11">
        <v>5.0</v>
      </c>
      <c r="I104" s="72">
        <v>1000.0</v>
      </c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2"/>
      <c r="B105" s="11">
        <v>6.0</v>
      </c>
      <c r="C105" s="86">
        <v>1300.0</v>
      </c>
      <c r="D105" s="2"/>
      <c r="E105" s="2"/>
      <c r="F105" s="37"/>
      <c r="G105" s="42"/>
      <c r="H105" s="11">
        <v>6.0</v>
      </c>
      <c r="I105" s="86">
        <v>1300.0</v>
      </c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2"/>
      <c r="B106" s="11">
        <v>7.0</v>
      </c>
      <c r="C106" s="87">
        <v>1600.0</v>
      </c>
      <c r="D106" s="2"/>
      <c r="E106" s="2"/>
      <c r="F106" s="2"/>
      <c r="G106" s="42"/>
      <c r="H106" s="11">
        <v>7.0</v>
      </c>
      <c r="I106" s="87">
        <v>1600.0</v>
      </c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1">
        <v>8.0</v>
      </c>
      <c r="C107" s="88">
        <v>2000.0</v>
      </c>
      <c r="D107" s="2"/>
      <c r="E107" s="2"/>
      <c r="F107" s="23"/>
      <c r="G107" s="2"/>
      <c r="H107" s="11">
        <v>8.0</v>
      </c>
      <c r="I107" s="88">
        <v>2000.0</v>
      </c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3">
        <f>SUM(C100:C109)</f>
        <v>14250</v>
      </c>
      <c r="B108" s="11">
        <v>9.0</v>
      </c>
      <c r="C108" s="89">
        <v>2500.0</v>
      </c>
      <c r="D108" s="2"/>
      <c r="E108" s="2"/>
      <c r="F108" s="23"/>
      <c r="G108" s="50">
        <f>SUM(I100:I109)</f>
        <v>14250</v>
      </c>
      <c r="H108" s="11">
        <v>9.0</v>
      </c>
      <c r="I108" s="89">
        <v>2500.0</v>
      </c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1"/>
      <c r="B109" s="62">
        <v>10.0</v>
      </c>
      <c r="C109" s="90">
        <v>3100.0</v>
      </c>
      <c r="D109" s="2"/>
      <c r="E109" s="2"/>
      <c r="F109" s="23"/>
      <c r="G109" s="78"/>
      <c r="H109" s="62">
        <v>10.0</v>
      </c>
      <c r="I109" s="90">
        <v>3100.0</v>
      </c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4" t="s">
        <v>19</v>
      </c>
      <c r="B110" s="40">
        <v>1.0</v>
      </c>
      <c r="C110" s="92">
        <v>820.0</v>
      </c>
      <c r="D110" s="2"/>
      <c r="E110" s="2"/>
      <c r="F110" s="23"/>
      <c r="G110" s="39" t="s">
        <v>20</v>
      </c>
      <c r="H110" s="40">
        <v>1.0</v>
      </c>
      <c r="I110" s="92">
        <v>820.0</v>
      </c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2"/>
      <c r="B111" s="11">
        <v>2.0</v>
      </c>
      <c r="C111" s="93">
        <v>980.0</v>
      </c>
      <c r="D111" s="2"/>
      <c r="E111" s="2"/>
      <c r="F111" s="23"/>
      <c r="G111" s="2"/>
      <c r="H111" s="11">
        <v>2.0</v>
      </c>
      <c r="I111" s="93">
        <v>980.0</v>
      </c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2"/>
      <c r="B112" s="11">
        <v>3.0</v>
      </c>
      <c r="C112" s="72">
        <v>1100.0</v>
      </c>
      <c r="D112" s="34"/>
      <c r="E112" s="2"/>
      <c r="F112" s="23"/>
      <c r="G112" s="2"/>
      <c r="H112" s="11">
        <v>3.0</v>
      </c>
      <c r="I112" s="72">
        <v>1100.0</v>
      </c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2"/>
      <c r="B113" s="11">
        <v>4.0</v>
      </c>
      <c r="C113" s="86">
        <v>1300.0</v>
      </c>
      <c r="D113" s="36"/>
      <c r="E113" s="2"/>
      <c r="F113" s="23"/>
      <c r="G113" s="2"/>
      <c r="H113" s="11">
        <v>4.0</v>
      </c>
      <c r="I113" s="86">
        <v>1300.0</v>
      </c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2"/>
      <c r="B114" s="11">
        <v>5.0</v>
      </c>
      <c r="C114" s="87">
        <v>1600.0</v>
      </c>
      <c r="D114" s="38"/>
      <c r="E114" s="2"/>
      <c r="F114" s="23"/>
      <c r="G114" s="2"/>
      <c r="H114" s="11">
        <v>5.0</v>
      </c>
      <c r="I114" s="87">
        <v>1600.0</v>
      </c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2"/>
      <c r="B115" s="11">
        <v>6.0</v>
      </c>
      <c r="C115" s="88">
        <v>2000.0</v>
      </c>
      <c r="D115" s="2"/>
      <c r="E115" s="2"/>
      <c r="F115" s="23"/>
      <c r="G115" s="2"/>
      <c r="H115" s="11">
        <v>6.0</v>
      </c>
      <c r="I115" s="88">
        <v>2000.0</v>
      </c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2"/>
      <c r="B116" s="11">
        <v>7.0</v>
      </c>
      <c r="C116" s="89">
        <v>2500.0</v>
      </c>
      <c r="D116" s="2"/>
      <c r="E116" s="2"/>
      <c r="F116" s="23"/>
      <c r="G116" s="2"/>
      <c r="H116" s="11">
        <v>7.0</v>
      </c>
      <c r="I116" s="89">
        <v>2500.0</v>
      </c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1">
        <v>8.0</v>
      </c>
      <c r="C117" s="94">
        <v>3100.0</v>
      </c>
      <c r="D117" s="2"/>
      <c r="E117" s="2"/>
      <c r="F117" s="23"/>
      <c r="G117" s="2"/>
      <c r="H117" s="11">
        <v>8.0</v>
      </c>
      <c r="I117" s="94">
        <v>3100.0</v>
      </c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3">
        <f>SUM(C110:C119)</f>
        <v>22100</v>
      </c>
      <c r="B118" s="11">
        <v>9.0</v>
      </c>
      <c r="C118" s="95">
        <v>3900.0</v>
      </c>
      <c r="D118" s="2"/>
      <c r="E118" s="2"/>
      <c r="F118" s="23"/>
      <c r="G118" s="50">
        <f>SUM(I110:I119)</f>
        <v>22100</v>
      </c>
      <c r="H118" s="11">
        <v>9.0</v>
      </c>
      <c r="I118" s="95">
        <v>3900.0</v>
      </c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1"/>
      <c r="B119" s="62">
        <v>10.0</v>
      </c>
      <c r="C119" s="96">
        <v>4800.0</v>
      </c>
      <c r="D119" s="2"/>
      <c r="E119" s="2"/>
      <c r="F119" s="97"/>
      <c r="G119" s="78"/>
      <c r="H119" s="62">
        <v>10.0</v>
      </c>
      <c r="I119" s="96">
        <v>4800.0</v>
      </c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64" t="s">
        <v>21</v>
      </c>
      <c r="E120" s="40">
        <v>1.0</v>
      </c>
      <c r="F120" s="98">
        <v>1200.0</v>
      </c>
      <c r="G120" s="2"/>
      <c r="H120" s="2"/>
      <c r="I120" s="2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2"/>
      <c r="E121" s="11">
        <v>2.0</v>
      </c>
      <c r="F121" s="87">
        <v>1500.0</v>
      </c>
      <c r="G121" s="2"/>
      <c r="H121" s="2"/>
      <c r="I121" s="2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2"/>
      <c r="E122" s="11">
        <v>3.0</v>
      </c>
      <c r="F122" s="99">
        <v>1700.0</v>
      </c>
      <c r="G122" s="2"/>
      <c r="H122" s="2"/>
      <c r="I122" s="2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3"/>
      <c r="D123" s="42"/>
      <c r="E123" s="11">
        <v>4.0</v>
      </c>
      <c r="F123" s="88">
        <v>2000.0</v>
      </c>
      <c r="G123" s="34"/>
      <c r="H123" s="2"/>
      <c r="I123" s="2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5"/>
      <c r="D124" s="42"/>
      <c r="E124" s="11">
        <v>5.0</v>
      </c>
      <c r="F124" s="100">
        <v>2300.0</v>
      </c>
      <c r="G124" s="36"/>
      <c r="H124" s="2"/>
      <c r="I124" s="2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7"/>
      <c r="D125" s="42"/>
      <c r="E125" s="11">
        <v>6.0</v>
      </c>
      <c r="F125" s="101">
        <v>2800.0</v>
      </c>
      <c r="G125" s="38"/>
      <c r="H125" s="2"/>
      <c r="I125" s="2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2"/>
      <c r="E126" s="11">
        <v>7.0</v>
      </c>
      <c r="F126" s="102">
        <v>3300.0</v>
      </c>
      <c r="G126" s="2"/>
      <c r="H126" s="2"/>
      <c r="I126" s="2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42"/>
      <c r="E127" s="11">
        <v>8.0</v>
      </c>
      <c r="F127" s="95">
        <v>4000.0</v>
      </c>
      <c r="G127" s="2"/>
      <c r="H127" s="2"/>
      <c r="I127" s="2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73">
        <f>SUM(F120:F139)</f>
        <v>142700</v>
      </c>
      <c r="E128" s="11">
        <v>9.0</v>
      </c>
      <c r="F128" s="103">
        <v>4700.0</v>
      </c>
      <c r="G128" s="2"/>
      <c r="H128" s="2"/>
      <c r="I128" s="2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3"/>
      <c r="D129" s="2"/>
      <c r="E129" s="11">
        <v>10.0</v>
      </c>
      <c r="F129" s="104">
        <v>5500.0</v>
      </c>
      <c r="G129" s="2"/>
      <c r="H129" s="2"/>
      <c r="I129" s="2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3"/>
      <c r="D130" s="2"/>
      <c r="E130" s="11">
        <v>11.0</v>
      </c>
      <c r="F130" s="105">
        <v>6200.0</v>
      </c>
      <c r="G130" s="2"/>
      <c r="H130" s="2"/>
      <c r="I130" s="2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3"/>
      <c r="D131" s="2"/>
      <c r="E131" s="11">
        <v>12.0</v>
      </c>
      <c r="F131" s="106">
        <v>7100.0</v>
      </c>
      <c r="G131" s="2"/>
      <c r="H131" s="2"/>
      <c r="I131" s="2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3"/>
      <c r="D132" s="2"/>
      <c r="E132" s="11">
        <v>13.0</v>
      </c>
      <c r="F132" s="107">
        <v>8100.0</v>
      </c>
      <c r="G132" s="2"/>
      <c r="H132" s="2"/>
      <c r="I132" s="2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3"/>
      <c r="D133" s="42"/>
      <c r="E133" s="11">
        <v>14.0</v>
      </c>
      <c r="F133" s="108">
        <v>9300.0</v>
      </c>
      <c r="G133" s="34"/>
      <c r="H133" s="2"/>
      <c r="I133" s="2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5"/>
      <c r="D134" s="42"/>
      <c r="E134" s="11">
        <v>15.0</v>
      </c>
      <c r="F134" s="109">
        <v>10800.0</v>
      </c>
      <c r="G134" s="36"/>
      <c r="H134" s="2"/>
      <c r="I134" s="2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7"/>
      <c r="D135" s="42"/>
      <c r="E135" s="11">
        <v>16.0</v>
      </c>
      <c r="F135" s="110">
        <v>11200.0</v>
      </c>
      <c r="G135" s="38"/>
      <c r="H135" s="2"/>
      <c r="I135" s="2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42"/>
      <c r="E136" s="11">
        <v>17.0</v>
      </c>
      <c r="F136" s="111">
        <v>13000.0</v>
      </c>
      <c r="G136" s="2"/>
      <c r="H136" s="2"/>
      <c r="I136" s="2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42"/>
      <c r="E137" s="11">
        <v>18.0</v>
      </c>
      <c r="F137" s="112">
        <v>13700.0</v>
      </c>
      <c r="G137" s="2"/>
      <c r="H137" s="2"/>
      <c r="I137" s="2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42"/>
      <c r="E138" s="11">
        <v>19.0</v>
      </c>
      <c r="F138" s="113">
        <v>15600.0</v>
      </c>
      <c r="G138" s="2"/>
      <c r="H138" s="2"/>
      <c r="I138" s="2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61"/>
      <c r="E139" s="62">
        <v>20.0</v>
      </c>
      <c r="F139" s="114">
        <v>18700.0</v>
      </c>
      <c r="G139" s="2"/>
      <c r="H139" s="2"/>
      <c r="I139" s="2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64" t="s">
        <v>22</v>
      </c>
      <c r="E140" s="40">
        <v>1.0</v>
      </c>
      <c r="F140" s="115">
        <v>20500.0</v>
      </c>
      <c r="G140" s="2"/>
      <c r="H140" s="2"/>
      <c r="I140" s="2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42"/>
      <c r="E141" s="31"/>
      <c r="F141" s="32"/>
      <c r="G141" s="2"/>
      <c r="H141" s="2"/>
      <c r="I141" s="2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42"/>
      <c r="E142" s="31"/>
      <c r="F142" s="32"/>
      <c r="G142" s="2"/>
      <c r="H142" s="2"/>
      <c r="I142" s="2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3"/>
      <c r="D143" s="42"/>
      <c r="E143" s="31"/>
      <c r="F143" s="32"/>
      <c r="G143" s="34"/>
      <c r="H143" s="2"/>
      <c r="I143" s="2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5"/>
      <c r="D144" s="42"/>
      <c r="E144" s="31"/>
      <c r="F144" s="32"/>
      <c r="G144" s="36"/>
      <c r="H144" s="2"/>
      <c r="I144" s="2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7"/>
      <c r="D145" s="42"/>
      <c r="E145" s="31"/>
      <c r="F145" s="32"/>
      <c r="G145" s="38"/>
      <c r="H145" s="2"/>
      <c r="I145" s="2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42"/>
      <c r="E146" s="31"/>
      <c r="F146" s="32"/>
      <c r="G146" s="2"/>
      <c r="H146" s="2"/>
      <c r="I146" s="2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3"/>
      <c r="D147" s="2"/>
      <c r="E147" s="31"/>
      <c r="F147" s="32"/>
      <c r="G147" s="2"/>
      <c r="H147" s="2"/>
      <c r="I147" s="2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3"/>
      <c r="D148" s="50">
        <v>20500.0</v>
      </c>
      <c r="E148" s="31"/>
      <c r="F148" s="32"/>
      <c r="G148" s="2"/>
      <c r="H148" s="2"/>
      <c r="I148" s="2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61"/>
      <c r="E149" s="31"/>
      <c r="F149" s="32"/>
      <c r="G149" s="2"/>
      <c r="H149" s="2"/>
      <c r="I149" s="2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116"/>
      <c r="E150" s="117"/>
      <c r="F150" s="117"/>
      <c r="G150" s="2"/>
      <c r="H150" s="2"/>
      <c r="I150" s="2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118"/>
      <c r="E151" s="2"/>
      <c r="F151" s="2"/>
      <c r="G151" s="2"/>
      <c r="H151" s="2"/>
      <c r="I151" s="2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6"/>
      <c r="E152" s="2"/>
      <c r="F152" s="2"/>
      <c r="G152" s="2"/>
      <c r="H152" s="2"/>
      <c r="I152" s="2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9"/>
      <c r="B153" s="120" t="s">
        <v>23</v>
      </c>
      <c r="C153" s="121"/>
      <c r="D153" s="122">
        <f>SUM(D148,D128,G118,A118,G108,A108,A98,G98,G88,A88,D78,G68,G58,A58,A68,D38,D28,G18,A18)</f>
        <v>356770</v>
      </c>
      <c r="E153" s="121"/>
      <c r="F153" s="121"/>
      <c r="G153" s="121"/>
      <c r="H153" s="121"/>
      <c r="I153" s="123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124"/>
      <c r="E160" s="2"/>
      <c r="F160" s="2"/>
      <c r="G160" s="2"/>
      <c r="H160" s="2"/>
      <c r="I160" s="2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9"/>
      <c r="B185" s="120" t="s">
        <v>23</v>
      </c>
      <c r="C185" s="121"/>
      <c r="D185" s="122">
        <v>356770.0</v>
      </c>
      <c r="E185" s="121"/>
      <c r="F185" s="121"/>
      <c r="G185" s="121"/>
      <c r="H185" s="121"/>
      <c r="I185" s="12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F21:F29 F71:F79 F141:F149">
      <formula1>AND(ISNUMBER(F21),(NOT(OR(NOT(ISERROR(DATEVALUE(F21))), AND(ISNUMBER(F21), LEFT(CELL("format", F21))="D")))))</formula1>
    </dataValidation>
  </dataValidations>
  <drawing r:id="rId1"/>
</worksheet>
</file>